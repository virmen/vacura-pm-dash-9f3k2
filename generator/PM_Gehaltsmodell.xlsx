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2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  <numFmt numFmtId="169" formatCode="#,##0\ &quot;€&quot;;[Red]\-#,##0\ &quot;€&quot;"/>
  </numFmts>
  <fonts count="29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  <font>
      <name val="Arial"/>
      <family val="2"/>
      <color rgb="FF666666"/>
      <sz val="16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9" fillId="0" borderId="0" pivotButton="0" quotePrefix="0" xfId="0"/>
    <xf numFmtId="0" fontId="24" fillId="0" borderId="0" pivotButton="0" quotePrefix="0" xfId="0"/>
    <xf numFmtId="0" fontId="0" fillId="12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  <xf numFmtId="169" fontId="28" fillId="0" borderId="0" pivotButton="0" quotePrefix="0" xfId="0"/>
    <xf numFmtId="3" fontId="28" fillId="0" borderId="0" pivotButton="0" quotePrefix="0" xfId="0"/>
    <xf numFmtId="0" fontId="28" fillId="0" borderId="0" pivotButton="0" quotePrefix="0" xfId="0"/>
    <xf numFmtId="169" fontId="28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:E1"/>
    </sheetView>
  </sheetViews>
  <sheetFormatPr baseColWidth="10" defaultColWidth="8.83203125" defaultRowHeight="15"/>
  <cols>
    <col width="8" customWidth="1" style="45" min="1" max="1"/>
    <col width="40" customWidth="1" style="45" min="2" max="2"/>
    <col width="35" customWidth="1" style="45" min="3" max="3"/>
    <col width="22" customWidth="1" style="45" min="4" max="4"/>
    <col width="60" customWidth="1" style="45" min="5" max="5"/>
  </cols>
  <sheetData>
    <row r="1" ht="19" customHeight="1" s="45">
      <c r="A1" s="46" t="inlineStr">
        <is>
          <t>📋 Anleitung Quartalswechsel — Was tun, wenn ein Quartal endet?</t>
        </is>
      </c>
    </row>
    <row r="3" ht="30" customHeight="1" s="45">
      <c r="A3" s="51" t="inlineStr">
        <is>
          <t>Diese Anleitung beschreibt die manuellen Schritte, die nach jedem Quartals-Ende notwendig sind, damit die PM-Bewertung für das Folge-Quartal greift.</t>
        </is>
      </c>
    </row>
    <row r="5" ht="16" customHeight="1" s="45">
      <c r="A5" s="49" t="inlineStr">
        <is>
          <t>Zeitpunkt: spätestens 5. Tag des Folge-Monats (also 5.7., 5.10., 5.1., 5.4.)</t>
        </is>
      </c>
    </row>
    <row r="7" ht="16" customHeight="1" s="45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5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5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5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5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5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5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5">
      <c r="A15" s="49" t="inlineStr">
        <is>
          <t>Legende:</t>
        </is>
      </c>
    </row>
    <row r="16">
      <c r="A16" s="48" t="inlineStr">
        <is>
          <t>Gelb = manuelle Aktion durch Geschäftsführung</t>
        </is>
      </c>
    </row>
    <row r="17">
      <c r="A17" s="50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5">
      <c r="A20" s="49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J10" sqref="J10"/>
    </sheetView>
  </sheetViews>
  <sheetFormatPr baseColWidth="10" defaultColWidth="8.83203125" defaultRowHeight="15"/>
  <cols>
    <col width="10" customWidth="1" style="45" min="1" max="2"/>
    <col width="12" customWidth="1" style="45" min="3" max="4"/>
    <col width="14" customWidth="1" style="45" min="5" max="5"/>
    <col width="35" customWidth="1" style="45" min="6" max="6"/>
    <col width="18" customWidth="1" style="45" min="7" max="7"/>
    <col width="12" customWidth="1" style="45" min="8" max="8"/>
    <col width="35" customWidth="1" style="45" min="9" max="9"/>
    <col width="8" customWidth="1" style="45" min="10" max="10"/>
  </cols>
  <sheetData>
    <row r="1" ht="19" customHeight="1" s="45">
      <c r="A1" s="46" t="inlineStr">
        <is>
          <t>👥 PM-Stammdaten (Quelle der Wahrheit für PM-Liste)</t>
        </is>
      </c>
    </row>
    <row r="3" ht="60" customHeight="1" s="45">
      <c r="A3" s="51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5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5">
      <c r="A6" s="51" t="inlineStr">
        <is>
          <t>Laura</t>
        </is>
      </c>
      <c r="B6" s="51" t="n">
        <v>40</v>
      </c>
      <c r="C6" s="51" t="n">
        <v>70</v>
      </c>
      <c r="D6" s="51" t="n">
        <v>45000</v>
      </c>
      <c r="E6" s="51" t="n"/>
      <c r="F6" s="51" t="inlineStr">
        <is>
          <t>Spandau, Mitte</t>
        </is>
      </c>
      <c r="G6" s="51" t="inlineStr">
        <is>
          <t>Laura, Max</t>
        </is>
      </c>
      <c r="H6" s="51" t="inlineStr">
        <is>
          <t>#4CAF50</t>
        </is>
      </c>
      <c r="I6" s="51" t="inlineStr">
        <is>
          <t>8278b207ba9e80605ae5f1604d696759</t>
        </is>
      </c>
      <c r="J6" s="51" t="b">
        <v>1</v>
      </c>
    </row>
    <row r="7" ht="32" customHeight="1" s="45">
      <c r="A7" s="51" t="inlineStr">
        <is>
          <t>Marleen</t>
        </is>
      </c>
      <c r="B7" s="51" t="n">
        <v>40</v>
      </c>
      <c r="C7" s="51" t="n">
        <v>120</v>
      </c>
      <c r="D7" s="51" t="n">
        <v>45000</v>
      </c>
      <c r="E7" s="51" t="n"/>
      <c r="F7" s="51" t="inlineStr">
        <is>
          <t>Friedrichshain, Charlottenburg, Prenzlauer Berg</t>
        </is>
      </c>
      <c r="G7" s="51" t="inlineStr">
        <is>
          <t>Marleen, Luise, Emily</t>
        </is>
      </c>
      <c r="H7" s="51" t="inlineStr">
        <is>
          <t>#2196F3</t>
        </is>
      </c>
      <c r="I7" s="51" t="inlineStr">
        <is>
          <t>0093979f8cf4df0f67ec20b6e35e6beb</t>
        </is>
      </c>
      <c r="J7" s="51" t="b">
        <v>1</v>
      </c>
    </row>
    <row r="8" ht="32" customHeight="1" s="45">
      <c r="A8" s="51" t="inlineStr">
        <is>
          <t>Luise</t>
        </is>
      </c>
      <c r="B8" s="51" t="n">
        <v>40</v>
      </c>
      <c r="C8" s="51" t="n">
        <v>120</v>
      </c>
      <c r="D8" s="51" t="n">
        <v>40000</v>
      </c>
      <c r="E8" s="51" t="inlineStr">
        <is>
          <t>2026-02-01</t>
        </is>
      </c>
      <c r="F8" s="51" t="inlineStr">
        <is>
          <t>Friedrichshain, Charlottenburg, Prenzlauer Berg</t>
        </is>
      </c>
      <c r="G8" s="51" t="inlineStr">
        <is>
          <t>Marleen, Luise, Emily</t>
        </is>
      </c>
      <c r="H8" s="51" t="inlineStr">
        <is>
          <t>#9C27B0</t>
        </is>
      </c>
      <c r="I8" s="51" t="inlineStr">
        <is>
          <t>52981192518b734a346928ed713bc015</t>
        </is>
      </c>
      <c r="J8" s="51" t="b">
        <v>1</v>
      </c>
    </row>
    <row r="9" ht="16" customHeight="1" s="45">
      <c r="A9" s="51" t="inlineStr">
        <is>
          <t>Max</t>
        </is>
      </c>
      <c r="B9" s="51" t="n">
        <v>30</v>
      </c>
      <c r="C9" s="51" t="n">
        <v>70</v>
      </c>
      <c r="D9" s="51" t="n">
        <v>40000</v>
      </c>
      <c r="E9" s="51" t="inlineStr">
        <is>
          <t>2026-02-01</t>
        </is>
      </c>
      <c r="F9" s="51" t="inlineStr">
        <is>
          <t>Spandau, Mitte</t>
        </is>
      </c>
      <c r="G9" s="51" t="inlineStr">
        <is>
          <t>Laura, Max</t>
        </is>
      </c>
      <c r="H9" s="51" t="inlineStr">
        <is>
          <t>#FF9800</t>
        </is>
      </c>
      <c r="I9" s="51" t="inlineStr">
        <is>
          <t>5051837ce5b8f243f109306f60136f17</t>
        </is>
      </c>
      <c r="J9" s="51" t="b">
        <v>1</v>
      </c>
    </row>
    <row r="10" ht="32" customHeight="1" s="45">
      <c r="A10" s="51" t="inlineStr">
        <is>
          <t>Emily</t>
        </is>
      </c>
      <c r="B10" s="51" t="n">
        <v>40</v>
      </c>
      <c r="C10" s="51" t="n">
        <v>120</v>
      </c>
      <c r="D10" s="51" t="n">
        <v>40000</v>
      </c>
      <c r="E10" s="43" t="n">
        <v>46204</v>
      </c>
      <c r="F10" s="51" t="inlineStr">
        <is>
          <t>Friedrichshain, Charlottenburg, Prenzlauer Berg</t>
        </is>
      </c>
      <c r="G10" s="51" t="inlineStr">
        <is>
          <t>Marleen, Luise, Emily</t>
        </is>
      </c>
      <c r="H10" s="51" t="inlineStr">
        <is>
          <t>#0D595A</t>
        </is>
      </c>
      <c r="I10" s="51" t="inlineStr">
        <is>
          <t>34ff01c507e5f18ac55f03759f68f856</t>
        </is>
      </c>
      <c r="J10" s="51" t="b">
        <v>1</v>
      </c>
    </row>
    <row r="11"/>
    <row r="12">
      <c r="A12" s="35" t="inlineStr">
        <is>
          <t>Auto-Befüllung beim Dashboard-Lauf:</t>
        </is>
      </c>
    </row>
    <row r="13">
      <c r="A13" s="47" t="inlineStr">
        <is>
          <t>• Spalte 8 leer → Default-Farbe #0D595A (Vacura-Teal)</t>
        </is>
      </c>
    </row>
    <row r="14">
      <c r="A14" s="47" t="inlineStr">
        <is>
          <t>• Spalte 9 leer → Token wird per secrets.token_hex(16) erzeugt + hier eingetragen</t>
        </is>
      </c>
    </row>
    <row r="15">
      <c r="A15" s="47" t="inlineStr">
        <is>
          <t>• Spalte 10 leer → Aktiv=Ja angenommen. Auf FALSE setzen um PM zu deaktivieren (z.B. Austritt)</t>
        </is>
      </c>
    </row>
    <row r="16">
      <c r="A16" s="47" t="inlineStr">
        <is>
          <t>• Plus: Daten-Tab Stammdaten-Spalten 1-6 werden parallel gespiegelt, falls dort noch keine Zeile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9"/>
  <sheetViews>
    <sheetView tabSelected="1" workbookViewId="0">
      <selection activeCell="J21" sqref="J21"/>
    </sheetView>
  </sheetViews>
  <sheetFormatPr baseColWidth="10" defaultColWidth="8.83203125" defaultRowHeight="15"/>
  <cols>
    <col width="10" customWidth="1" style="45" min="1" max="1"/>
    <col width="12" customWidth="1" style="45" min="2" max="2"/>
    <col width="10" customWidth="1" style="45" min="3" max="5"/>
    <col width="14" customWidth="1" style="45" min="6" max="6"/>
    <col width="11" customWidth="1" style="45" min="7" max="7"/>
    <col width="10" customWidth="1" style="45" min="8" max="9"/>
    <col width="11" customWidth="1" style="45" min="10" max="10"/>
    <col width="14" customWidth="1" style="45" min="11" max="11"/>
    <col width="11" customWidth="1" style="45" min="12" max="12"/>
    <col width="9" customWidth="1" style="45" min="13" max="13"/>
    <col width="11" customWidth="1" style="45" min="14" max="16"/>
    <col width="16" customWidth="1" style="45" min="17" max="17"/>
    <col width="24" customWidth="1" style="45" min="18" max="18"/>
    <col width="18" customWidth="1" style="45" min="19" max="19"/>
  </cols>
  <sheetData>
    <row r="1" ht="19" customHeight="1" s="45">
      <c r="A1" s="46" t="inlineStr">
        <is>
          <t>📊 Quartals-Bewertungen (Input + Output in einem Sheet)</t>
        </is>
      </c>
    </row>
    <row r="3" ht="45" customHeight="1" s="45">
      <c r="A3" s="44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47" t="inlineStr">
        <is>
          <t>🟡 GELB = manuell von dir · 🟦 HELLBLAU = Code befüllt automatisch</t>
        </is>
      </c>
    </row>
    <row r="7" ht="28" customHeight="1" s="45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48" t="n">
        <v>8.5</v>
      </c>
      <c r="D8" s="48" t="n">
        <v>8</v>
      </c>
      <c r="E8" s="48" t="n">
        <v>8.699999999999999</v>
      </c>
      <c r="F8" s="38" t="n">
        <v>299437</v>
      </c>
      <c r="G8" s="39" t="n">
        <v>8.52</v>
      </c>
      <c r="H8" s="39" t="n">
        <v>4686.3</v>
      </c>
      <c r="I8" s="39" t="n">
        <v>554.8</v>
      </c>
      <c r="J8" s="39" t="n"/>
      <c r="K8" s="40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40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48" t="n">
        <v>8.5</v>
      </c>
      <c r="D9" s="48" t="n">
        <v>8.699999999999999</v>
      </c>
      <c r="E9" s="48" t="n">
        <v>8</v>
      </c>
      <c r="F9" s="38" t="n">
        <v>351752</v>
      </c>
      <c r="G9" s="39" t="n">
        <v>8.24</v>
      </c>
      <c r="H9" s="39" t="n">
        <v>5343.5</v>
      </c>
      <c r="I9" s="39" t="n">
        <v>293.5</v>
      </c>
      <c r="J9" s="39" t="n"/>
      <c r="K9" s="40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40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48" t="n">
        <v>8.5</v>
      </c>
      <c r="D10" s="48" t="n">
        <v>8.699999999999999</v>
      </c>
      <c r="E10" s="48" t="n"/>
      <c r="F10" s="38" t="n">
        <v>351752</v>
      </c>
      <c r="G10" s="39" t="n"/>
      <c r="H10" s="39" t="n"/>
      <c r="I10" s="39" t="n"/>
      <c r="J10" s="39" t="n"/>
      <c r="K10" s="40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40" t="n"/>
      <c r="R10" s="39" t="inlineStr">
        <is>
          <t>🔒 Q1 historisch eingefroren</t>
        </is>
      </c>
      <c r="S10" s="39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48" t="n">
        <v>8.5</v>
      </c>
      <c r="D11" s="48" t="n">
        <v>7.8</v>
      </c>
      <c r="E11" s="48" t="n">
        <v>8.800000000000001</v>
      </c>
      <c r="F11" s="38" t="n">
        <v>299437</v>
      </c>
      <c r="G11" s="39" t="n">
        <v>8.539999999999999</v>
      </c>
      <c r="H11" s="39" t="n"/>
      <c r="I11" s="39" t="n"/>
      <c r="J11" s="39" t="n"/>
      <c r="K11" s="40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40" t="n"/>
      <c r="R11" s="39" t="inlineStr">
        <is>
          <t>🔒 Q1 historisch eingefroren</t>
        </is>
      </c>
      <c r="S11" s="39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48" t="n">
        <v>8.9</v>
      </c>
      <c r="D12" s="48" t="n">
        <v>8.300000000000001</v>
      </c>
      <c r="E12" s="48" t="n">
        <v>8.4</v>
      </c>
      <c r="F12" s="38" t="n">
        <v>287559</v>
      </c>
      <c r="G12" t="n">
        <v>8.48</v>
      </c>
      <c r="H12" t="n">
        <v>5573.4</v>
      </c>
      <c r="I12" t="n">
        <v>819</v>
      </c>
      <c r="J12" t="n">
        <v>365.5</v>
      </c>
      <c r="K12" t="n">
        <v>308608</v>
      </c>
      <c r="L12" t="n">
        <v>4388.9</v>
      </c>
      <c r="M12" t="n">
        <v>70.31999999999999</v>
      </c>
      <c r="N12" t="n">
        <v>2</v>
      </c>
      <c r="O12" t="n">
        <v>2</v>
      </c>
      <c r="P12" t="inlineStr">
        <is>
          <t>Nein</t>
        </is>
      </c>
      <c r="Q12" t="n">
        <v>21049</v>
      </c>
      <c r="R12" s="48" t="inlineStr">
        <is>
          <t>⚠️ Diff +7.3 %</t>
        </is>
      </c>
      <c r="S12" t="inlineStr">
        <is>
          <t>2026-07-22 18:52</t>
        </is>
      </c>
    </row>
    <row r="13">
      <c r="A13" t="inlineStr">
        <is>
          <t>Q2 2026</t>
        </is>
      </c>
      <c r="B13" t="inlineStr">
        <is>
          <t>Marleen</t>
        </is>
      </c>
      <c r="C13" s="48" t="n">
        <v>8.199999999999999</v>
      </c>
      <c r="D13" s="48" t="n">
        <v>7.4</v>
      </c>
      <c r="E13" s="48" t="n">
        <v>7.8</v>
      </c>
      <c r="F13" s="38" t="n">
        <v>397312</v>
      </c>
      <c r="G13" t="n">
        <v>7.8</v>
      </c>
      <c r="H13" t="n">
        <v>7648.1</v>
      </c>
      <c r="I13" t="n">
        <v>1345.5</v>
      </c>
      <c r="J13" t="n">
        <v>448.5</v>
      </c>
      <c r="K13" t="n">
        <v>405124</v>
      </c>
      <c r="L13" t="n">
        <v>5854.1</v>
      </c>
      <c r="M13" t="n">
        <v>69.2</v>
      </c>
      <c r="N13" t="n">
        <v>2</v>
      </c>
      <c r="O13" t="n">
        <v>2</v>
      </c>
      <c r="P13" t="inlineStr">
        <is>
          <t>Nein</t>
        </is>
      </c>
      <c r="Q13" t="n">
        <v>7812</v>
      </c>
      <c r="R13" s="48" t="inlineStr">
        <is>
          <t>✓ OK</t>
        </is>
      </c>
      <c r="S13" t="inlineStr">
        <is>
          <t>2026-07-22 18:52</t>
        </is>
      </c>
    </row>
    <row r="14">
      <c r="A14" t="inlineStr">
        <is>
          <t>Q2 2026</t>
        </is>
      </c>
      <c r="B14" t="inlineStr">
        <is>
          <t>Luise</t>
        </is>
      </c>
      <c r="C14" s="48" t="n">
        <v>9.199999999999999</v>
      </c>
      <c r="D14" s="48" t="n">
        <v>9.199999999999999</v>
      </c>
      <c r="E14" s="48" t="n">
        <v>9.199999999999999</v>
      </c>
      <c r="F14" s="38" t="n">
        <v>397312</v>
      </c>
      <c r="G14" t="n">
        <v>9.199999999999999</v>
      </c>
      <c r="H14" t="n">
        <v>7648.1</v>
      </c>
      <c r="I14" t="n">
        <v>1345.5</v>
      </c>
      <c r="J14" t="n">
        <v>448.5</v>
      </c>
      <c r="K14" t="n">
        <v>405124</v>
      </c>
      <c r="L14" t="n">
        <v>5854.1</v>
      </c>
      <c r="M14" t="n">
        <v>69.2</v>
      </c>
      <c r="N14" t="n">
        <v>2</v>
      </c>
      <c r="O14" t="n">
        <v>1</v>
      </c>
      <c r="P14" t="inlineStr">
        <is>
          <t>Ja</t>
        </is>
      </c>
      <c r="Q14" t="n">
        <v>7812</v>
      </c>
      <c r="R14" s="48" t="inlineStr">
        <is>
          <t>✓ OK</t>
        </is>
      </c>
      <c r="S14" t="inlineStr">
        <is>
          <t>2026-07-22 18:52</t>
        </is>
      </c>
    </row>
    <row r="15">
      <c r="A15" t="inlineStr">
        <is>
          <t>Q2 2026</t>
        </is>
      </c>
      <c r="B15" t="inlineStr">
        <is>
          <t>Max</t>
        </is>
      </c>
      <c r="C15" s="48" t="n">
        <v>9.4</v>
      </c>
      <c r="D15" s="48" t="n">
        <v>9.300000000000001</v>
      </c>
      <c r="E15" s="48" t="n">
        <v>8.9</v>
      </c>
      <c r="F15" s="38" t="n">
        <v>287559</v>
      </c>
      <c r="G15" t="n">
        <v>9.08</v>
      </c>
      <c r="H15" t="n">
        <v>5573.4</v>
      </c>
      <c r="I15" t="n">
        <v>819</v>
      </c>
      <c r="J15" t="n">
        <v>365.5</v>
      </c>
      <c r="K15" t="n">
        <v>308608</v>
      </c>
      <c r="L15" t="n">
        <v>4388.9</v>
      </c>
      <c r="M15" t="n">
        <v>70.31999999999999</v>
      </c>
      <c r="N15" t="n">
        <v>2</v>
      </c>
      <c r="O15" t="n">
        <v>1</v>
      </c>
      <c r="P15" t="inlineStr">
        <is>
          <t>Ja</t>
        </is>
      </c>
      <c r="Q15" t="n">
        <v>21049</v>
      </c>
      <c r="R15" s="48" t="inlineStr">
        <is>
          <t>⚠️ Diff +7.3 %</t>
        </is>
      </c>
      <c r="S15" t="inlineStr">
        <is>
          <t>2026-07-22 18:52</t>
        </is>
      </c>
    </row>
    <row r="16">
      <c r="A16" t="inlineStr">
        <is>
          <t>Q2 2026</t>
        </is>
      </c>
      <c r="B16" t="inlineStr">
        <is>
          <t>Emily</t>
        </is>
      </c>
      <c r="H16" t="n">
        <v>7648.1</v>
      </c>
      <c r="I16" t="n">
        <v>1345.5</v>
      </c>
      <c r="J16" t="n">
        <v>448.5</v>
      </c>
      <c r="K16" t="n">
        <v>405124</v>
      </c>
      <c r="L16" t="n">
        <v>5854.1</v>
      </c>
      <c r="M16" t="n">
        <v>69.2</v>
      </c>
      <c r="N16" t="n">
        <v>1</v>
      </c>
      <c r="O16" t="n">
        <v>1</v>
      </c>
      <c r="P16" t="inlineStr">
        <is>
          <t>Ja</t>
        </is>
      </c>
      <c r="R16" t="inlineStr">
        <is>
          <t>⏳ Zufriedenheit fehlt</t>
        </is>
      </c>
      <c r="S16" t="inlineStr">
        <is>
          <t>2026-07-22 18:52</t>
        </is>
      </c>
    </row>
    <row r="17"/>
    <row r="18"/>
    <row r="19" ht="20" customHeight="1" s="45">
      <c r="G19" s="63" t="n"/>
      <c r="H19" s="63" t="n"/>
      <c r="I19" s="61" t="n"/>
    </row>
    <row r="20" ht="20" customHeight="1" s="45">
      <c r="G20" s="63" t="n"/>
      <c r="H20" s="63" t="n"/>
      <c r="I20" s="61" t="n"/>
    </row>
    <row r="21" ht="20" customHeight="1" s="45">
      <c r="G21" s="63" t="n"/>
      <c r="H21" s="63" t="n"/>
      <c r="I21" s="62" t="n"/>
    </row>
    <row r="22" ht="20" customHeight="1" s="45">
      <c r="G22" s="63" t="n"/>
      <c r="H22" s="63" t="n"/>
      <c r="I22" s="61" t="n"/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5" min="1" max="1"/>
    <col width="38" customWidth="1" style="45" min="2" max="2"/>
    <col width="2" customWidth="1" style="45" min="3" max="3"/>
    <col width="16" customWidth="1" style="45" min="4" max="4"/>
    <col width="2" customWidth="1" style="45" min="5" max="5"/>
    <col width="24" customWidth="1" style="45" min="6" max="6"/>
  </cols>
  <sheetData>
    <row r="2" ht="20" customHeight="1" s="45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F11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5" min="1" max="1"/>
    <col width="16" customWidth="1" style="45" min="2" max="2"/>
    <col width="14" customWidth="1" style="45" min="4" max="4"/>
    <col width="12" customWidth="1" style="45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17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17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17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17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17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17" t="n">
        <v>89.48</v>
      </c>
    </row>
    <row r="8"/>
    <row r="9"/>
    <row r="10">
      <c r="A10" s="52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45"/>
    <row r="97" ht="51" customHeight="1" s="45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5" min="1" max="1"/>
    <col width="14" customWidth="1" style="45" min="2" max="3"/>
    <col width="16" customWidth="1" style="45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5" min="1" max="1"/>
    <col width="28" customWidth="1" style="45" min="2" max="2"/>
    <col width="34" customWidth="1" style="45" min="3" max="3"/>
    <col width="28" customWidth="1" style="45" min="4" max="4"/>
    <col width="14" customWidth="1" style="45" min="5" max="6"/>
  </cols>
  <sheetData>
    <row r="1" ht="40" customHeight="1" s="45">
      <c r="B1" s="59" t="inlineStr">
        <is>
          <t>Wie funktioniert dein Gehalt?</t>
        </is>
      </c>
    </row>
    <row r="2" ht="22" customHeight="1" s="45">
      <c r="B2" s="55" t="inlineStr">
        <is>
          <t>Schritt für Schritt: vom Mindestgehalt bis zur variablen Zulage.</t>
        </is>
      </c>
    </row>
    <row r="4" ht="28" customHeight="1" s="45">
      <c r="B4" s="53" t="inlineStr">
        <is>
          <t>1. Dein Gehalt besteht aus drei Teilen</t>
        </is>
      </c>
    </row>
    <row r="6" ht="22" customHeight="1" s="45">
      <c r="B6" s="58" t="inlineStr">
        <is>
          <t>A) Sockelgehalt</t>
        </is>
      </c>
    </row>
    <row r="7" ht="22" customHeight="1" s="45">
      <c r="B7" s="54" t="inlineStr">
        <is>
          <t>40.000 € pro Jahr bei Vollzeit (40 h/Woche). Bei Teilzeit anteilig (26 h = 26/40 × 40.000 = 26.000 €).</t>
        </is>
      </c>
    </row>
    <row r="9" ht="22" customHeight="1" s="45">
      <c r="B9" s="58" t="inlineStr">
        <is>
          <t>B) Bundle-Zulage (je nach Größe deines Teams)</t>
        </is>
      </c>
    </row>
    <row r="10" ht="22" customHeight="1" s="45">
      <c r="B10" s="54" t="inlineStr">
        <is>
          <t>Je mehr Therapeuten in deinem Bundle arbeiten, desto höher dein Gehalt.</t>
        </is>
      </c>
    </row>
    <row r="11" ht="35" customHeight="1" s="45">
      <c r="B11" s="54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5">
      <c r="B12" s="55" t="inlineStr">
        <is>
          <t>Beispiel: 3 Therapeuten à 40 h + 2 à 30 h = 180 h ÷ 30 = 6 TH-Äquivalente.</t>
        </is>
      </c>
    </row>
    <row r="13" ht="22" customHeight="1" s="45">
      <c r="B13" s="54" t="inlineStr">
        <is>
          <t>Pro TH-Äquivalent bekommst du 250 € (für die ersten 4) bzw. 400 € (für 5–9) bzw. 700 € (ab 10) zusätzlich pro Jahr.</t>
        </is>
      </c>
    </row>
    <row r="15" ht="22" customHeight="1" s="45">
      <c r="B15" s="58" t="inlineStr">
        <is>
          <t>C) Variable Zulage</t>
        </is>
      </c>
    </row>
    <row r="16" ht="22" customHeight="1" s="45">
      <c r="B16" s="54" t="inlineStr">
        <is>
          <t>0 % bis 55 % Zulage auf dein Basis-Gehalt (= Sockel + Bundle-Zulage). Die 6 Stufen siehst du gleich in Abschnitt 2.</t>
        </is>
      </c>
    </row>
    <row r="18" ht="22" customHeight="1" s="45">
      <c r="B18" s="57" t="inlineStr">
        <is>
          <t>Beispiel-Rechnung für eine Vollzeit-PM (40 h/Wo) mit 8 TH-Äquivalenten im Bundle:</t>
        </is>
      </c>
    </row>
    <row r="19" ht="22" customHeight="1" s="45">
      <c r="B19" s="54" t="inlineStr">
        <is>
          <t>• Sockel: 40.000 €</t>
        </is>
      </c>
    </row>
    <row r="20" ht="22" customHeight="1" s="45">
      <c r="B20" s="54" t="inlineStr">
        <is>
          <t>• Bundle-Zulage (8 TH-Äqui → kumuliert 2.600 €): + 2.600 €   →   Basis = 42.600 €</t>
        </is>
      </c>
    </row>
    <row r="21" ht="22" customHeight="1" s="45">
      <c r="B21" s="58" t="inlineStr">
        <is>
          <t>• Bei Stufe 3 (+22 % variable Zulage): 42.600 € × 1,22 = 51.972 € pro Jahr = 4.331 € pro Monat</t>
        </is>
      </c>
    </row>
    <row r="23" ht="28" customHeight="1" s="45">
      <c r="B23" s="53" t="inlineStr">
        <is>
          <t>2. Die 6 Stufen im Überblick</t>
        </is>
      </c>
    </row>
    <row r="25" ht="22" customHeight="1" s="45">
      <c r="B25" s="55" t="inlineStr">
        <is>
          <t>Jede Stufe entspricht einer festen variablen Zulage auf dein Basis-Gehalt:</t>
        </is>
      </c>
    </row>
    <row r="27" ht="24" customHeight="1" s="45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5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5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5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5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5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5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5">
      <c r="B36" s="53" t="inlineStr">
        <is>
          <t>3. Wie ergibt sich deine Stufe?</t>
        </is>
      </c>
    </row>
    <row r="38" ht="22" customHeight="1" s="45">
      <c r="B38" s="54" t="inlineStr">
        <is>
          <t>Deine Stufe steht, wenn zwei Sachen gleichzeitig stimmen:</t>
        </is>
      </c>
    </row>
    <row r="40" ht="22" customHeight="1" s="45">
      <c r="B40" s="58" t="inlineStr">
        <is>
          <t>Bedingung 1 — Wirtschaftlich:</t>
        </is>
      </c>
    </row>
    <row r="41" ht="22" customHeight="1" s="45">
      <c r="B41" s="54" t="inlineStr">
        <is>
          <t>Dein Bundle muss einen bestimmten Umsatz pro Therapie-Stunde erwirtschaften.</t>
        </is>
      </c>
    </row>
    <row r="42" ht="22" customHeight="1" s="45">
      <c r="B42" s="54" t="inlineStr">
        <is>
          <t>Zum Beispiel: Für Stufe 3 brauchst du ca. 73 €/Stunde, für Stufe 5 ca. 84 €/Stunde. Details dazu in Abschnitt 4.</t>
        </is>
      </c>
    </row>
    <row r="44" ht="22" customHeight="1" s="45">
      <c r="B44" s="58" t="inlineStr">
        <is>
          <t>Bedingung 2 — Teamzufriedenheit:</t>
        </is>
      </c>
    </row>
    <row r="45" ht="22" customHeight="1" s="45">
      <c r="B45" s="54" t="inlineStr">
        <is>
          <t>Dein Team muss in der anonymen Quartals-Umfrage einen bestimmten Zufriedenheits-Score erreichen (Skala 0–10).</t>
        </is>
      </c>
    </row>
    <row r="46" ht="22" customHeight="1" s="45">
      <c r="B46" s="54" t="inlineStr">
        <is>
          <t>Zum Beispiel: Stufe 3 braucht ≥ 7,0 — Stufe 5 braucht ≥ 8,5.</t>
        </is>
      </c>
    </row>
    <row r="48" ht="22" customHeight="1" s="45">
      <c r="B48" s="56" t="inlineStr">
        <is>
          <t>Beide Schwellen müssen erfüllt sein — nur wirtschaftlich stark ODER nur glückliches Team reicht nicht.</t>
        </is>
      </c>
    </row>
    <row r="50" ht="22" customHeight="1" s="45">
      <c r="B50" s="58" t="inlineStr">
        <is>
          <t>Die Schwellen pro Stufe:</t>
        </is>
      </c>
    </row>
    <row r="52" ht="22" customHeight="1" s="45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5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5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5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5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5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5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5">
      <c r="B61" s="53" t="inlineStr">
        <is>
          <t>4. Was bedeutet »€/60min Therapie«?</t>
        </is>
      </c>
    </row>
    <row r="63" ht="22" customHeight="1" s="45">
      <c r="B63" s="54" t="inlineStr">
        <is>
          <t>Das ist der Wert, an dem deine Leistung gemessen wird.</t>
        </is>
      </c>
    </row>
    <row r="64" ht="22" customHeight="1" s="45">
      <c r="B64" s="54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5">
      <c r="B66" s="56" t="inlineStr">
        <is>
          <t>In einfachen Worten:</t>
        </is>
      </c>
    </row>
    <row r="67" ht="22" customHeight="1" s="45">
      <c r="B67" s="56" t="inlineStr">
        <is>
          <t>Gesamt-Umsatz deines Bundles im Quartal  ÷  alle verfügbaren Arbeitsstunden = €/60min</t>
        </is>
      </c>
    </row>
    <row r="69" ht="22" customHeight="1" s="45">
      <c r="B69" s="54" t="inlineStr">
        <is>
          <t>Verfügbare Arbeitsstunden = alle Vertragsstunden MINUS Urlaub, Fortbildung, Sonderurlaub.</t>
        </is>
      </c>
    </row>
    <row r="70" ht="22" customHeight="1" s="45">
      <c r="B70" s="54" t="inlineStr">
        <is>
          <t>Krankheit wird NICHT abgezogen — die ist schon als 10 %-Puffer im Modell einkalkuliert.</t>
        </is>
      </c>
    </row>
    <row r="72" ht="22" customHeight="1" s="45">
      <c r="B72" s="55" t="inlineStr">
        <is>
          <t>Zum Einordnen: Ein 60-min-GKV-Termin bringt ca. 95 €. Weil zwischen Terminen Zeit für Doku/Pausen bezahlt ist, liegt der Schnitt darunter.</t>
        </is>
      </c>
    </row>
    <row r="75" ht="28" customHeight="1" s="45">
      <c r="B75" s="53" t="inlineStr">
        <is>
          <t>5. Wie kommst du zur nächsten Stufe?</t>
        </is>
      </c>
    </row>
    <row r="77" ht="22" customHeight="1" s="45">
      <c r="B77" s="54" t="inlineStr">
        <is>
          <t>Drei Hebel, um den €/60min nach oben zu bekommen:</t>
        </is>
      </c>
    </row>
    <row r="78" ht="22" customHeight="1" s="45">
      <c r="B78" s="55" t="inlineStr">
        <is>
          <t>Hinweis: die Effekte sind Orientierungswerte (grobe Rechnung), keine exakt vorhergesagten Zahlen.</t>
        </is>
      </c>
    </row>
    <row r="80" ht="34" customHeight="1" s="45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5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5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5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5">
      <c r="B85" s="55" t="inlineStr">
        <is>
          <t>Plus: Team-Zufriedenheits-Score hoch halten — ohne den bringt dir der beste Leistungsindex nichts.</t>
        </is>
      </c>
    </row>
    <row r="87" ht="28" customHeight="1" s="45">
      <c r="B87" s="53" t="inlineStr">
        <is>
          <t>6. Spezial-Regeln</t>
        </is>
      </c>
    </row>
    <row r="89" ht="22" customHeight="1" s="45">
      <c r="B89" s="58" t="inlineStr">
        <is>
          <t>Probezeit (erste 6 Monate):</t>
        </is>
      </c>
    </row>
    <row r="90" ht="22" customHeight="1" s="45">
      <c r="B90" s="54" t="inlineStr">
        <is>
          <t>Stufe ist fix auf 1 (Basis), Bundle-Zulage zählt nicht, Gehalt = Mindestgehalt. Nach 180 Tagen greift das Stufensystem.</t>
        </is>
      </c>
    </row>
    <row r="92" ht="22" customHeight="1" s="45">
      <c r="B92" s="58" t="inlineStr">
        <is>
          <t>Max ±1 Stufenwechsel pro Quartal:</t>
        </is>
      </c>
    </row>
    <row r="93" ht="22" customHeight="1" s="45">
      <c r="B93" s="54" t="inlineStr">
        <is>
          <t>Auch bei perfekter Performance kannst du pro Quartal nur eine Stufe steigen. Ein Abstieg ist auf −1 Stufe begrenzt.</t>
        </is>
      </c>
    </row>
    <row r="95" ht="22" customHeight="1" s="45">
      <c r="B95" s="58" t="inlineStr">
        <is>
          <t>Neuanfänger (neue TH im Bundle):</t>
        </is>
      </c>
    </row>
    <row r="96" ht="22" customHeight="1" s="45">
      <c r="B96" s="54" t="inlineStr">
        <is>
          <t>Frisch eingestellte TH zählen erst ab dem 29. Tag ihres Arbeitsverhältnisses — damit ihre Einarbeitung deinen €/60min-Wert nicht drückt.</t>
        </is>
      </c>
    </row>
    <row r="97" ht="51" customHeight="1" s="45"/>
    <row r="98" ht="22" customHeight="1" s="45">
      <c r="B98" s="58" t="n"/>
    </row>
    <row r="99" ht="22" customHeight="1" s="45">
      <c r="B99" s="54" t="n"/>
    </row>
  </sheetData>
  <mergeCells count="49">
    <mergeCell ref="B4:F4"/>
    <mergeCell ref="B75:F75"/>
    <mergeCell ref="B7:F7"/>
    <mergeCell ref="B16:F16"/>
    <mergeCell ref="B72:F72"/>
    <mergeCell ref="B90:F90"/>
    <mergeCell ref="B25:F25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2026-07-22T16:52:12Z</dcterms:modified>
  <cp:lastModifiedBy>Valentin Irmen</cp:lastModifiedBy>
  <cp:revision>0</cp:revision>
</cp:coreProperties>
</file>