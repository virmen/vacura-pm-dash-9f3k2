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600" yWindow="-19780" windowWidth="24200" windowHeight="15120" tabRatio="500" firstSheet="0" activeTab="2" autoFilterDateGrouping="1"/>
  </bookViews>
  <sheets>
    <sheet xmlns:r="http://schemas.openxmlformats.org/officeDocument/2006/relationships" name="Anleitung Q-Wechsel" sheetId="1" state="visible" r:id="rId1"/>
    <sheet xmlns:r="http://schemas.openxmlformats.org/officeDocument/2006/relationships" name="PM-Stammdaten" sheetId="2" state="visible" r:id="rId2"/>
    <sheet xmlns:r="http://schemas.openxmlformats.org/officeDocument/2006/relationships" name="Quartals-Bewertungen" sheetId="3" state="visible" r:id="rId3"/>
    <sheet xmlns:r="http://schemas.openxmlformats.org/officeDocument/2006/relationships" name="Parameter" sheetId="4" state="visible" r:id="rId4"/>
    <sheet xmlns:r="http://schemas.openxmlformats.org/officeDocument/2006/relationships" name="Stufentabelle" sheetId="5" state="visible" r:id="rId5"/>
    <sheet xmlns:r="http://schemas.openxmlformats.org/officeDocument/2006/relationships" name="TH-Zulagen" sheetId="6" state="visible" r:id="rId6"/>
    <sheet xmlns:r="http://schemas.openxmlformats.org/officeDocument/2006/relationships" name="Model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#,##0&quot; €&quot;"/>
    <numFmt numFmtId="165" formatCode="0.0"/>
    <numFmt numFmtId="166" formatCode="0.000"/>
    <numFmt numFmtId="167" formatCode="#,##0.00&quot; €&quot;"/>
    <numFmt numFmtId="168" formatCode="#,##0\ \€"/>
    <numFmt numFmtId="169" formatCode="#,##0\ &quot;€&quot;;[Red]\-#,##0\ &quot;€&quot;"/>
    <numFmt numFmtId="170" formatCode="yyyy-mm-dd h:mm:ss"/>
  </numFmts>
  <fonts count="30">
    <font>
      <name val="Calibri"/>
      <charset val="1"/>
      <family val="2"/>
      <color theme="1"/>
      <sz val="11"/>
    </font>
    <font>
      <name val="Arial"/>
      <family val="2"/>
      <b val="1"/>
      <color rgb="FFFFFFFF"/>
      <sz val="10"/>
    </font>
    <font>
      <name val="Arial"/>
      <family val="2"/>
      <b val="1"/>
      <sz val="10"/>
    </font>
    <font>
      <name val="Arial"/>
      <family val="2"/>
      <color rgb="FF0000FF"/>
      <sz val="10"/>
    </font>
    <font>
      <name val="Arial"/>
      <family val="2"/>
      <color rgb="FF888888"/>
      <sz val="9"/>
    </font>
    <font>
      <name val="Arial"/>
      <family val="2"/>
      <sz val="10"/>
    </font>
    <font>
      <name val="Arial"/>
      <family val="2"/>
      <b val="1"/>
      <color rgb="FF0D595A"/>
      <sz val="16"/>
    </font>
    <font>
      <name val="Arial"/>
      <family val="2"/>
      <i val="1"/>
      <color rgb="FF888888"/>
      <sz val="10"/>
    </font>
    <font>
      <name val="Calibri"/>
      <family val="2"/>
      <b val="1"/>
      <sz val="11"/>
    </font>
    <font>
      <name val="Calibri"/>
      <family val="2"/>
      <b val="1"/>
      <sz val="11"/>
    </font>
    <font>
      <name val="Calibri"/>
      <family val="2"/>
      <i val="1"/>
      <color rgb="FF666666"/>
      <sz val="9"/>
    </font>
    <font>
      <name val="Calibri"/>
      <family val="2"/>
      <b val="1"/>
      <color rgb="FFFFFFFF"/>
      <sz val="10"/>
    </font>
    <font>
      <name val="Calibri"/>
      <family val="2"/>
      <sz val="10"/>
    </font>
    <font>
      <name val="Calibri"/>
      <family val="2"/>
      <b val="1"/>
      <color rgb="FFFFFFFF"/>
      <sz val="16"/>
    </font>
    <font>
      <name val="Calibri"/>
      <family val="2"/>
      <i val="1"/>
      <color rgb="FF666666"/>
      <sz val="10"/>
    </font>
    <font>
      <name val="Calibri"/>
      <family val="2"/>
      <b val="1"/>
      <color rgb="FFFFFFFF"/>
      <sz val="12"/>
    </font>
    <font>
      <name val="Calibri"/>
      <family val="2"/>
      <b val="1"/>
      <color rgb="FF263238"/>
      <sz val="11"/>
    </font>
    <font>
      <name val="Calibri"/>
      <family val="2"/>
      <color rgb="FF263238"/>
      <sz val="11"/>
    </font>
    <font>
      <name val="Calibri"/>
      <family val="2"/>
      <b val="1"/>
      <sz val="10"/>
    </font>
    <font>
      <name val="Calibri"/>
      <family val="2"/>
      <b val="1"/>
      <sz val="14"/>
    </font>
    <font>
      <name val="Calibri"/>
      <family val="2"/>
      <b val="1"/>
      <sz val="12"/>
    </font>
    <font>
      <name val="Calibri"/>
      <family val="2"/>
      <b val="1"/>
      <color rgb="FFFFFFFF"/>
      <sz val="12"/>
    </font>
    <font>
      <name val="Calibri"/>
      <family val="2"/>
      <b val="1"/>
      <color rgb="FFFFFFFF"/>
      <sz val="11"/>
    </font>
    <font>
      <name val="Calibri"/>
      <family val="2"/>
      <b val="1"/>
      <color rgb="FF1A8A8B"/>
      <sz val="11"/>
    </font>
    <font>
      <name val="Calibri"/>
      <family val="2"/>
      <i val="1"/>
      <color rgb="FF666666"/>
      <sz val="11"/>
    </font>
    <font>
      <name val="Calibri"/>
      <family val="2"/>
      <b val="1"/>
      <color rgb="FFFFFFFF"/>
      <sz val="10"/>
    </font>
    <font>
      <name val="Calibri"/>
      <family val="2"/>
      <b val="1"/>
      <i val="1"/>
      <sz val="11"/>
    </font>
    <font>
      <name val="Calibri"/>
      <family val="2"/>
      <color rgb="FF0066CC"/>
      <sz val="11"/>
      <u val="single"/>
    </font>
    <font>
      <name val="Arial"/>
      <family val="2"/>
      <color rgb="FF666666"/>
      <sz val="16"/>
    </font>
    <font>
      <b val="1"/>
    </font>
  </fonts>
  <fills count="15">
    <fill>
      <patternFill/>
    </fill>
    <fill>
      <patternFill patternType="gray125"/>
    </fill>
    <fill>
      <patternFill patternType="solid">
        <fgColor rgb="FF0D595A"/>
        <bgColor rgb="FF008080"/>
      </patternFill>
    </fill>
    <fill>
      <patternFill patternType="solid">
        <fgColor rgb="FFFFF2CC"/>
        <bgColor rgb="FFFDE9D9"/>
      </patternFill>
    </fill>
    <fill>
      <patternFill patternType="solid">
        <fgColor rgb="FF455A64"/>
      </patternFill>
    </fill>
    <fill>
      <patternFill patternType="solid">
        <fgColor rgb="FFE0F2F1"/>
      </patternFill>
    </fill>
    <fill>
      <patternFill patternType="solid">
        <fgColor rgb="FF263238"/>
      </patternFill>
    </fill>
    <fill>
      <patternFill patternType="solid">
        <fgColor rgb="FF607D8B"/>
      </patternFill>
    </fill>
    <fill>
      <patternFill patternType="solid">
        <fgColor rgb="FFECEFF1"/>
      </patternFill>
    </fill>
    <fill>
      <patternFill patternType="solid">
        <fgColor rgb="FFFFFFFF"/>
      </patternFill>
    </fill>
    <fill>
      <patternFill patternType="solid">
        <fgColor rgb="FFC8E6C9"/>
      </patternFill>
    </fill>
    <fill>
      <patternFill patternType="solid">
        <fgColor rgb="FF1A8A8B"/>
      </patternFill>
    </fill>
    <fill>
      <patternFill patternType="solid">
        <fgColor rgb="FFFFF3CD"/>
      </patternFill>
    </fill>
    <fill>
      <patternFill patternType="solid">
        <fgColor rgb="FFD4EDDA"/>
      </patternFill>
    </fill>
    <fill>
      <patternFill patternType="solid">
        <fgColor rgb="FFE8F4F4"/>
      </patternFill>
    </fill>
  </fills>
  <borders count="3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CFD8DC"/>
      </left>
      <right style="thin">
        <color rgb="FFCFD8DC"/>
      </right>
      <top style="thin">
        <color rgb="FFCFD8DC"/>
      </top>
      <bottom style="thin">
        <color rgb="FFCFD8DC"/>
      </bottom>
      <diagonal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  <xf numFmtId="9" fontId="5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166" fontId="3" fillId="3" borderId="1" pivotButton="0" quotePrefix="0" xfId="0"/>
    <xf numFmtId="9" fontId="3" fillId="3" borderId="1" pivotButton="0" quotePrefix="0" xfId="0"/>
    <xf numFmtId="164" fontId="3" fillId="3" borderId="1" pivotButton="0" quotePrefix="0" xfId="0"/>
    <xf numFmtId="0" fontId="2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11" fillId="4" borderId="2" applyAlignment="1" pivotButton="0" quotePrefix="0" xfId="0">
      <alignment horizontal="center" vertical="center" wrapText="1"/>
    </xf>
    <xf numFmtId="0" fontId="9" fillId="0" borderId="0" pivotButton="0" quotePrefix="0" xfId="0"/>
    <xf numFmtId="167" fontId="0" fillId="0" borderId="0" pivotButton="0" quotePrefix="0" xfId="0"/>
    <xf numFmtId="0" fontId="12" fillId="9" borderId="2" applyAlignment="1" pivotButton="0" quotePrefix="0" xfId="0">
      <alignment horizontal="center" vertical="center" wrapText="1"/>
    </xf>
    <xf numFmtId="0" fontId="12" fillId="9" borderId="2" applyAlignment="1" pivotButton="0" quotePrefix="0" xfId="0">
      <alignment horizontal="right" vertical="center"/>
    </xf>
    <xf numFmtId="0" fontId="12" fillId="8" borderId="2" applyAlignment="1" pivotButton="0" quotePrefix="0" xfId="0">
      <alignment horizontal="center" vertical="center" wrapText="1"/>
    </xf>
    <xf numFmtId="0" fontId="12" fillId="8" borderId="2" applyAlignment="1" pivotButton="0" quotePrefix="0" xfId="0">
      <alignment horizontal="right" vertical="center"/>
    </xf>
    <xf numFmtId="0" fontId="18" fillId="10" borderId="2" applyAlignment="1" pivotButton="0" quotePrefix="0" xfId="0">
      <alignment horizontal="center" vertical="center" wrapText="1"/>
    </xf>
    <xf numFmtId="0" fontId="18" fillId="10" borderId="2" applyAlignment="1" pivotButton="0" quotePrefix="0" xfId="0">
      <alignment horizontal="right" vertical="center"/>
    </xf>
    <xf numFmtId="0" fontId="12" fillId="8" borderId="2" applyAlignment="1" pivotButton="0" quotePrefix="0" xfId="0">
      <alignment horizontal="left" vertical="center" wrapText="1" indent="1"/>
    </xf>
    <xf numFmtId="0" fontId="12" fillId="9" borderId="2" applyAlignment="1" pivotButton="0" quotePrefix="0" xfId="0">
      <alignment horizontal="left" vertical="center" wrapText="1" indent="1"/>
    </xf>
    <xf numFmtId="0" fontId="0" fillId="0" borderId="0" applyAlignment="1" pivotButton="0" quotePrefix="0" xfId="0">
      <alignment vertical="top" wrapText="1"/>
    </xf>
    <xf numFmtId="0" fontId="20" fillId="0" borderId="0" pivotButton="0" quotePrefix="0" xfId="0"/>
    <xf numFmtId="0" fontId="21" fillId="11" borderId="0" pivotButton="0" quotePrefix="0" xfId="0"/>
    <xf numFmtId="0" fontId="20" fillId="12" borderId="0" applyAlignment="1" pivotButton="0" quotePrefix="0" xfId="0">
      <alignment vertical="top" wrapText="1"/>
    </xf>
    <xf numFmtId="0" fontId="0" fillId="12" borderId="0" applyAlignment="1" pivotButton="0" quotePrefix="0" xfId="0">
      <alignment vertical="top" wrapText="1"/>
    </xf>
    <xf numFmtId="0" fontId="20" fillId="13" borderId="0" applyAlignment="1" pivotButton="0" quotePrefix="0" xfId="0">
      <alignment vertical="top" wrapText="1"/>
    </xf>
    <xf numFmtId="0" fontId="0" fillId="13" borderId="0" applyAlignment="1" pivotButton="0" quotePrefix="0" xfId="0">
      <alignment vertical="top" wrapText="1"/>
    </xf>
    <xf numFmtId="0" fontId="0" fillId="12" borderId="0" pivotButton="0" quotePrefix="0" xfId="0"/>
    <xf numFmtId="0" fontId="22" fillId="11" borderId="0" applyAlignment="1" pivotButton="0" quotePrefix="0" xfId="0">
      <alignment vertical="top" wrapText="1"/>
    </xf>
    <xf numFmtId="0" fontId="23" fillId="0" borderId="0" pivotButton="0" quotePrefix="0" xfId="0"/>
    <xf numFmtId="0" fontId="24" fillId="0" borderId="0" pivotButton="0" quotePrefix="0" xfId="0"/>
    <xf numFmtId="0" fontId="25" fillId="11" borderId="0" applyAlignment="1" pivotButton="0" quotePrefix="0" xfId="0">
      <alignment horizontal="center" vertical="center"/>
    </xf>
    <xf numFmtId="168" fontId="0" fillId="12" borderId="0" pivotButton="0" quotePrefix="0" xfId="0"/>
    <xf numFmtId="0" fontId="0" fillId="14" borderId="0" pivotButton="0" quotePrefix="0" xfId="0"/>
    <xf numFmtId="168" fontId="0" fillId="14" borderId="0" pivotButton="0" quotePrefix="0" xfId="0"/>
    <xf numFmtId="0" fontId="26" fillId="0" borderId="0" pivotButton="0" quotePrefix="0" xfId="0"/>
    <xf numFmtId="0" fontId="27" fillId="0" borderId="0" pivotButton="0" quotePrefix="0" xfId="0"/>
    <xf numFmtId="14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19" fillId="0" borderId="0" pivotButton="0" quotePrefix="0" xfId="0"/>
    <xf numFmtId="0" fontId="24" fillId="0" borderId="0" pivotButton="0" quotePrefix="0" xfId="0"/>
    <xf numFmtId="0" fontId="0" fillId="12" borderId="0" pivotButton="0" quotePrefix="0" xfId="0"/>
    <xf numFmtId="0" fontId="20" fillId="0" borderId="0" pivotButton="0" quotePrefix="0" xfId="0"/>
    <xf numFmtId="0" fontId="0" fillId="13" borderId="0" pivotButton="0" quotePrefix="0" xfId="0"/>
    <xf numFmtId="0" fontId="0" fillId="0" borderId="0" applyAlignment="1" pivotButton="0" quotePrefix="0" xfId="0">
      <alignment vertical="top" wrapText="1"/>
    </xf>
    <xf numFmtId="0" fontId="10" fillId="0" borderId="0" pivotButton="0" quotePrefix="0" xfId="0"/>
    <xf numFmtId="0" fontId="15" fillId="7" borderId="0" applyAlignment="1" pivotButton="0" quotePrefix="0" xfId="0">
      <alignment horizontal="left" vertical="center" indent="1"/>
    </xf>
    <xf numFmtId="0" fontId="17" fillId="0" borderId="0" applyAlignment="1" pivotButton="0" quotePrefix="0" xfId="0">
      <alignment horizontal="left" vertical="center" wrapText="1" indent="1"/>
    </xf>
    <xf numFmtId="0" fontId="14" fillId="0" borderId="0" applyAlignment="1" pivotButton="0" quotePrefix="0" xfId="0">
      <alignment horizontal="left" vertical="center" wrapText="1" indent="1"/>
    </xf>
    <xf numFmtId="0" fontId="16" fillId="5" borderId="0" applyAlignment="1" pivotButton="0" quotePrefix="0" xfId="0">
      <alignment horizontal="left" vertical="center" wrapText="1" indent="1"/>
    </xf>
    <xf numFmtId="0" fontId="16" fillId="8" borderId="0" applyAlignment="1" pivotButton="0" quotePrefix="0" xfId="0">
      <alignment horizontal="left" vertical="center" wrapText="1" indent="1"/>
    </xf>
    <xf numFmtId="0" fontId="16" fillId="0" borderId="0" applyAlignment="1" pivotButton="0" quotePrefix="0" xfId="0">
      <alignment horizontal="left" vertical="center" wrapText="1" indent="1"/>
    </xf>
    <xf numFmtId="0" fontId="13" fillId="6" borderId="0" applyAlignment="1" pivotButton="0" quotePrefix="0" xfId="0">
      <alignment horizontal="left" vertical="center" indent="1"/>
    </xf>
    <xf numFmtId="169" fontId="28" fillId="0" borderId="0" pivotButton="0" quotePrefix="0" xfId="0"/>
    <xf numFmtId="3" fontId="28" fillId="0" borderId="0" pivotButton="0" quotePrefix="0" xfId="0"/>
    <xf numFmtId="0" fontId="28" fillId="0" borderId="0" pivotButton="0" quotePrefix="0" xfId="0"/>
    <xf numFmtId="169" fontId="28" fillId="0" borderId="0" pivotButton="0" quotePrefix="0" xfId="0"/>
    <xf numFmtId="0" fontId="29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FF2CC"/>
      <rgbColor rgb="FFE8F5F5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D9EAD3"/>
      <rgbColor rgb="FFFDE9D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D7D31"/>
      <rgbColor rgb="FF666699"/>
      <rgbColor rgb="FF969696"/>
      <rgbColor rgb="FF0D595A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virmen/vacura-pm-dash-9f3k2/blob/main/ANLEITUNG_QUARTALSWECHSEL.md" TargetMode="External" Id="rId1"/><Relationship Type="http://schemas.openxmlformats.org/officeDocument/2006/relationships/hyperlink" Target="https://github.com/virmen/vacura-pm-dash-9f3k2/blob/main/METHODE.md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:E1"/>
    </sheetView>
  </sheetViews>
  <sheetFormatPr baseColWidth="10" defaultColWidth="8.83203125" defaultRowHeight="15"/>
  <cols>
    <col width="8" customWidth="1" style="45" min="1" max="1"/>
    <col width="40" customWidth="1" style="45" min="2" max="2"/>
    <col width="35" customWidth="1" style="45" min="3" max="3"/>
    <col width="22" customWidth="1" style="45" min="4" max="4"/>
    <col width="60" customWidth="1" style="45" min="5" max="5"/>
  </cols>
  <sheetData>
    <row r="1" ht="19" customHeight="1" s="45">
      <c r="A1" s="46" t="inlineStr">
        <is>
          <t>📋 Anleitung Quartalswechsel — Was tun, wenn ein Quartal endet?</t>
        </is>
      </c>
    </row>
    <row r="3" ht="30" customHeight="1" s="45">
      <c r="A3" s="51" t="inlineStr">
        <is>
          <t>Diese Anleitung beschreibt die manuellen Schritte, die nach jedem Quartals-Ende notwendig sind, damit die PM-Bewertung für das Folge-Quartal greift.</t>
        </is>
      </c>
    </row>
    <row r="5" ht="16" customHeight="1" s="45">
      <c r="A5" s="49" t="inlineStr">
        <is>
          <t>Zeitpunkt: spätestens 5. Tag des Folge-Monats (also 5.7., 5.10., 5.1., 5.4.)</t>
        </is>
      </c>
    </row>
    <row r="7" ht="16" customHeight="1" s="45">
      <c r="A7" s="28" t="inlineStr">
        <is>
          <t>Schritt</t>
        </is>
      </c>
      <c r="B7" s="28" t="inlineStr">
        <is>
          <t>Was</t>
        </is>
      </c>
      <c r="C7" s="28" t="inlineStr">
        <is>
          <t>Wo eintragen</t>
        </is>
      </c>
      <c r="D7" s="28" t="inlineStr">
        <is>
          <t>Wer</t>
        </is>
      </c>
      <c r="E7" s="28" t="inlineStr">
        <is>
          <t>Warum / Hinweis</t>
        </is>
      </c>
    </row>
    <row r="8" ht="75" customHeight="1" s="45">
      <c r="A8" s="29" t="inlineStr">
        <is>
          <t>1</t>
        </is>
      </c>
      <c r="B8" s="30" t="inlineStr">
        <is>
          <t>Zufriedenheits-Scores aus Q-Umfrage eintragen</t>
        </is>
      </c>
      <c r="C8" s="30" t="inlineStr">
        <is>
          <t>Tab "Daten" — Spalten 11 (Rücken), 12 (Komm), 13 (eNPS)</t>
        </is>
      </c>
      <c r="D8" s="30" t="inlineStr">
        <is>
          <t>Du (Geschäftsführung)</t>
        </is>
      </c>
      <c r="E8" s="30" t="inlineStr">
        <is>
          <t>Aus quartalsweiser Umfrage (anonym, ≥60% Teilnahme). Formel: Score = 0,2×Rücken + 0,2×Komm + 0,6×eNPS. Ohne diese Werte ist die Stufen-Bewertung unvollständig.</t>
        </is>
      </c>
    </row>
    <row r="9" ht="75" customHeight="1" s="45">
      <c r="A9" s="29" t="inlineStr">
        <is>
          <t>2</t>
        </is>
      </c>
      <c r="B9" s="30" t="inlineStr">
        <is>
          <t>MediFox-IST-Werte als Sanity-Check eintragen</t>
        </is>
      </c>
      <c r="C9" s="30" t="inlineStr">
        <is>
          <t>Tab "Sanity (MediFox)" — pro Bundle eine Zeile</t>
        </is>
      </c>
      <c r="D9" s="30" t="inlineStr">
        <is>
          <t>Du (Geschäftsführung)</t>
        </is>
      </c>
      <c r="E9" s="30" t="inlineStr">
        <is>
          <t>MediFox-Export pro Standort/Monat, Summen über Q. Wird automatisch mit NocoDB-IST verglichen — Diff &gt; 2 % bedeutet Untersuchung nötig.</t>
        </is>
      </c>
    </row>
    <row r="10" ht="75" customHeight="1" s="45">
      <c r="A10" s="31" t="inlineStr">
        <is>
          <t>3</t>
        </is>
      </c>
      <c r="B10" s="32" t="inlineStr">
        <is>
          <t>Q-End-Berechnung anstoßen</t>
        </is>
      </c>
      <c r="C10" s="32" t="inlineStr">
        <is>
          <t>Routine läuft automatisch am 1. des Folge-Monats</t>
        </is>
      </c>
      <c r="D10" s="32" t="inlineStr">
        <is>
          <t>Code (Routine-Agent)</t>
        </is>
      </c>
      <c r="E10" s="32" t="inlineStr">
        <is>
          <t>compute_quartal() rechnet für jedes Bundle: IST, Vstd, Abw, Feiertage, eur60, rechn_stufe und tats_stufe (mit ±1-Deckel). Werte werden ins Tab "Audit Q&lt;N&gt;" geschrieben.</t>
        </is>
      </c>
    </row>
    <row r="11" ht="75" customHeight="1" s="45">
      <c r="A11" s="29" t="inlineStr">
        <is>
          <t>4</t>
        </is>
      </c>
      <c r="B11" s="30" t="inlineStr">
        <is>
          <t>Stufe Vorquartal manuell updaten</t>
        </is>
      </c>
      <c r="C11" s="30" t="inlineStr">
        <is>
          <t>Tab "Daten" — Spalte 5 ("Stufe Vorquartal") pro PM</t>
        </is>
      </c>
      <c r="D11" s="30" t="inlineStr">
        <is>
          <t>Du (Geschäftsführung) ODER Routine</t>
        </is>
      </c>
      <c r="E11" s="30" t="inlineStr">
        <is>
          <t>Die tats_stufe aus dem Audit-Tab wird zur "Stufe Vorquartal" für die nächste Bewertung — wichtig für den ±1-Deckel. Wenn falsch, kann eine PM rechnerisch Stufe 4 sein aber wegen falschem Vorquartals-Wert auf Stufe 1 gedeckelt werden.</t>
        </is>
      </c>
    </row>
    <row r="12" ht="75" customHeight="1" s="45">
      <c r="A12" s="31" t="inlineStr">
        <is>
          <t>5</t>
        </is>
      </c>
      <c r="B12" s="32" t="inlineStr">
        <is>
          <t>Dashboards regenerieren + deployen</t>
        </is>
      </c>
      <c r="C12" s="32" t="inlineStr">
        <is>
          <t>GitHub Action "Regenerate PM Dashboards" manuell triggern</t>
        </is>
      </c>
      <c r="D12" s="32" t="inlineStr">
        <is>
          <t>Code (Routine-Agent)</t>
        </is>
      </c>
      <c r="E12" s="32" t="inlineStr">
        <is>
          <t>Nach Excel-Update werden die HTML-Dashboards mit Q-Final-Werten neu gebaut und auf GitHub Pages deployed. PMs sehen dann ihre offizielle Q-Bewertung.</t>
        </is>
      </c>
    </row>
    <row r="13" ht="75" customHeight="1" s="45">
      <c r="A13" s="29" t="inlineStr">
        <is>
          <t>6</t>
        </is>
      </c>
      <c r="B13" s="30" t="inlineStr">
        <is>
          <t>Plausibilitäts-Check + Freigabe</t>
        </is>
      </c>
      <c r="C13" s="30" t="inlineStr">
        <is>
          <t>Audit-Tab durchgehen, Diff zu MediFox prüfen</t>
        </is>
      </c>
      <c r="D13" s="30" t="inlineStr">
        <is>
          <t>Du (Geschäftsführung)</t>
        </is>
      </c>
      <c r="E13" s="30" t="inlineStr">
        <is>
          <t>Wenn Audit-Werte plausibel und MediFox-Diff &lt; 2 %: Q-Bewertung gilt als final, Gehälter werden für das Folge-Quartal angepasst. Sonst: Ursache klären, Werte ggf. nachbessern.</t>
        </is>
      </c>
    </row>
    <row r="15" ht="16" customHeight="1" s="45">
      <c r="A15" s="49" t="inlineStr">
        <is>
          <t>Legende:</t>
        </is>
      </c>
    </row>
    <row r="16">
      <c r="A16" s="48" t="inlineStr">
        <is>
          <t>Gelb = manuelle Aktion durch Geschäftsführung</t>
        </is>
      </c>
    </row>
    <row r="17">
      <c r="A17" s="50" t="inlineStr">
        <is>
          <t>Grün = automatisch durch Code/Routine</t>
        </is>
      </c>
    </row>
    <row r="18">
      <c r="A18" s="41" t="inlineStr">
        <is>
          <t>Vollständige Anleitung:</t>
        </is>
      </c>
      <c r="B18" s="42" t="inlineStr">
        <is>
          <t>github.com/virmen/vacura-pm-dash-9f3k2/blob/main/ANLEITUNG_QUARTALSWECHSEL.md</t>
        </is>
      </c>
    </row>
    <row r="19">
      <c r="A19" s="41" t="inlineStr">
        <is>
          <t>Berechnungs-Methodik:</t>
        </is>
      </c>
      <c r="B19" s="42" t="inlineStr">
        <is>
          <t>github.com/virmen/vacura-pm-dash-9f3k2/blob/main/METHODE.md</t>
        </is>
      </c>
    </row>
    <row r="20" ht="16" customHeight="1" s="45">
      <c r="A20" s="49" t="inlineStr">
        <is>
          <t>Detaillierte Berechnungsmethodik</t>
        </is>
      </c>
      <c r="B20" t="inlineStr">
        <is>
          <t>Code-Repo: pm-dashboards/v2/METHODE.md</t>
        </is>
      </c>
    </row>
  </sheetData>
  <mergeCells count="5">
    <mergeCell ref="A16:E16"/>
    <mergeCell ref="A1:E1"/>
    <mergeCell ref="A5:E5"/>
    <mergeCell ref="A17:E17"/>
    <mergeCell ref="A3:E3"/>
  </mergeCells>
  <hyperlinks>
    <hyperlink xmlns:r="http://schemas.openxmlformats.org/officeDocument/2006/relationships" ref="B18" r:id="rId1"/>
    <hyperlink xmlns:r="http://schemas.openxmlformats.org/officeDocument/2006/relationships" ref="B19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J10" sqref="J10"/>
    </sheetView>
  </sheetViews>
  <sheetFormatPr baseColWidth="10" defaultColWidth="8.83203125" defaultRowHeight="15"/>
  <cols>
    <col width="10" customWidth="1" style="45" min="1" max="2"/>
    <col width="12" customWidth="1" style="45" min="3" max="4"/>
    <col width="14" customWidth="1" style="45" min="5" max="5"/>
    <col width="35" customWidth="1" style="45" min="6" max="6"/>
    <col width="18" customWidth="1" style="45" min="7" max="7"/>
    <col width="12" customWidth="1" style="45" min="8" max="8"/>
    <col width="35" customWidth="1" style="45" min="9" max="9"/>
    <col width="8" customWidth="1" style="45" min="10" max="10"/>
  </cols>
  <sheetData>
    <row r="1" ht="19" customHeight="1" s="45">
      <c r="A1" s="46" t="inlineStr">
        <is>
          <t>👥 PM-Stammdaten (Quelle der Wahrheit für PM-Liste)</t>
        </is>
      </c>
    </row>
    <row r="3" ht="60" customHeight="1" s="45">
      <c r="A3" s="51" t="inlineStr">
        <is>
          <t>Quelle der Wahrheit für die PM-Liste. Code liest beim Start automatisch.
➜ Neuen PM anlegen: einfach neue Zeile anhängen. Spalte 8 (Farbe), 9 (Token) und 10 (Aktiv) dürfen leer bleiben — werden beim nächsten Dashboard-Lauf automatisch befüllt. Token wird automatisch erzeugt und ins Excel zurückgeschrieben.</t>
        </is>
      </c>
    </row>
    <row r="5" ht="30" customHeight="1" s="45">
      <c r="A5" s="34" t="inlineStr">
        <is>
          <t>Name</t>
        </is>
      </c>
      <c r="B5" s="34" t="inlineStr">
        <is>
          <t>Wochenstd</t>
        </is>
      </c>
      <c r="C5" s="34" t="inlineStr">
        <is>
          <t>PM-Std Bundle</t>
        </is>
      </c>
      <c r="D5" s="34" t="inlineStr">
        <is>
          <t>Mindestgehalt</t>
        </is>
      </c>
      <c r="E5" s="34" t="inlineStr">
        <is>
          <t>Startdatum</t>
        </is>
      </c>
      <c r="F5" s="34" t="inlineStr">
        <is>
          <t>Bundle-Standorte</t>
        </is>
      </c>
      <c r="G5" s="34" t="inlineStr">
        <is>
          <t>Bundle-PMs</t>
        </is>
      </c>
      <c r="H5" s="34" t="inlineStr">
        <is>
          <t>Farbe (Hex)</t>
        </is>
      </c>
      <c r="I5" s="34" t="inlineStr">
        <is>
          <t>URL-Token (32-hex)</t>
        </is>
      </c>
      <c r="J5" s="34" t="inlineStr">
        <is>
          <t>Aktiv</t>
        </is>
      </c>
    </row>
    <row r="6" ht="16" customHeight="1" s="45">
      <c r="A6" s="51" t="inlineStr">
        <is>
          <t>Laura</t>
        </is>
      </c>
      <c r="B6" s="51" t="n">
        <v>40</v>
      </c>
      <c r="C6" s="51" t="n">
        <v>110</v>
      </c>
      <c r="D6" s="51" t="n">
        <v>45000</v>
      </c>
      <c r="E6" s="51" t="n"/>
      <c r="F6" s="51" t="inlineStr">
        <is>
          <t>Spandau, Mitte</t>
        </is>
      </c>
      <c r="G6" s="51" t="inlineStr">
        <is>
          <t>Laura, Max, Anna</t>
        </is>
      </c>
      <c r="H6" s="51" t="inlineStr">
        <is>
          <t>#4CAF50</t>
        </is>
      </c>
      <c r="I6" s="51" t="inlineStr">
        <is>
          <t>8278b207ba9e80605ae5f1604d696759</t>
        </is>
      </c>
      <c r="J6" s="51" t="b">
        <v>1</v>
      </c>
    </row>
    <row r="7" ht="32" customHeight="1" s="45">
      <c r="A7" s="51" t="inlineStr">
        <is>
          <t>Marleen</t>
        </is>
      </c>
      <c r="B7" s="51" t="n">
        <v>40</v>
      </c>
      <c r="C7" s="51" t="n">
        <v>120</v>
      </c>
      <c r="D7" s="51" t="n">
        <v>45000</v>
      </c>
      <c r="E7" s="51" t="n"/>
      <c r="F7" s="51" t="inlineStr">
        <is>
          <t>Friedrichshain, Charlottenburg, Prenzlauer Berg</t>
        </is>
      </c>
      <c r="G7" s="51" t="inlineStr">
        <is>
          <t>Marleen, Luise, Emily</t>
        </is>
      </c>
      <c r="H7" s="51" t="inlineStr">
        <is>
          <t>#2196F3</t>
        </is>
      </c>
      <c r="I7" s="51" t="inlineStr">
        <is>
          <t>0093979f8cf4df0f67ec20b6e35e6beb</t>
        </is>
      </c>
      <c r="J7" s="51" t="b">
        <v>1</v>
      </c>
    </row>
    <row r="8" ht="32" customHeight="1" s="45">
      <c r="A8" s="51" t="inlineStr">
        <is>
          <t>Luise</t>
        </is>
      </c>
      <c r="B8" s="51" t="n">
        <v>40</v>
      </c>
      <c r="C8" s="51" t="n">
        <v>120</v>
      </c>
      <c r="D8" s="51" t="n">
        <v>40000</v>
      </c>
      <c r="E8" s="51" t="inlineStr">
        <is>
          <t>2026-02-01</t>
        </is>
      </c>
      <c r="F8" s="51" t="inlineStr">
        <is>
          <t>Friedrichshain, Charlottenburg, Prenzlauer Berg</t>
        </is>
      </c>
      <c r="G8" s="51" t="inlineStr">
        <is>
          <t>Marleen, Luise, Emily</t>
        </is>
      </c>
      <c r="H8" s="51" t="inlineStr">
        <is>
          <t>#9C27B0</t>
        </is>
      </c>
      <c r="I8" s="51" t="inlineStr">
        <is>
          <t>52981192518b734a346928ed713bc015</t>
        </is>
      </c>
      <c r="J8" s="51" t="b">
        <v>1</v>
      </c>
    </row>
    <row r="9" ht="16" customHeight="1" s="45">
      <c r="A9" s="51" t="inlineStr">
        <is>
          <t>Max</t>
        </is>
      </c>
      <c r="B9" s="51" t="n">
        <v>30</v>
      </c>
      <c r="C9" s="51" t="n">
        <v>110</v>
      </c>
      <c r="D9" s="51" t="n">
        <v>40000</v>
      </c>
      <c r="E9" s="51" t="inlineStr">
        <is>
          <t>2026-02-01</t>
        </is>
      </c>
      <c r="F9" s="51" t="inlineStr">
        <is>
          <t>Spandau, Mitte</t>
        </is>
      </c>
      <c r="G9" s="51" t="inlineStr">
        <is>
          <t>Laura, Max, Anna</t>
        </is>
      </c>
      <c r="H9" s="51" t="inlineStr">
        <is>
          <t>#FF9800</t>
        </is>
      </c>
      <c r="I9" s="51" t="inlineStr">
        <is>
          <t>5051837ce5b8f243f109306f60136f17</t>
        </is>
      </c>
      <c r="J9" s="51" t="b">
        <v>1</v>
      </c>
    </row>
    <row r="10" ht="32" customHeight="1" s="45">
      <c r="A10" s="51" t="inlineStr">
        <is>
          <t>Emily</t>
        </is>
      </c>
      <c r="B10" s="51" t="n">
        <v>40</v>
      </c>
      <c r="C10" s="51" t="n">
        <v>120</v>
      </c>
      <c r="D10" s="51" t="n">
        <v>40000</v>
      </c>
      <c r="E10" s="43" t="n">
        <v>46204</v>
      </c>
      <c r="F10" s="51" t="inlineStr">
        <is>
          <t>Friedrichshain, Charlottenburg, Prenzlauer Berg</t>
        </is>
      </c>
      <c r="G10" s="51" t="inlineStr">
        <is>
          <t>Marleen, Luise, Emily</t>
        </is>
      </c>
      <c r="H10" s="51" t="inlineStr">
        <is>
          <t>#0D595A</t>
        </is>
      </c>
      <c r="I10" s="51" t="inlineStr">
        <is>
          <t>34ff01c507e5f18ac55f03759f68f856</t>
        </is>
      </c>
      <c r="J10" s="51" t="b">
        <v>1</v>
      </c>
    </row>
    <row r="11" ht="32" customHeight="1" s="45">
      <c r="A11" s="51" t="inlineStr">
        <is>
          <t>Anna</t>
        </is>
      </c>
      <c r="B11" s="51" t="n">
        <v>40</v>
      </c>
      <c r="C11" s="51" t="n">
        <v>110</v>
      </c>
      <c r="D11" s="51" t="n">
        <v>40000</v>
      </c>
      <c r="E11" s="43" t="n">
        <v>46235</v>
      </c>
      <c r="F11" s="51" t="inlineStr">
        <is>
          <t>Spandau, Mitte</t>
        </is>
      </c>
      <c r="G11" s="51" t="inlineStr">
        <is>
          <t>Laura, Max, Anna</t>
        </is>
      </c>
      <c r="H11" s="51" t="inlineStr">
        <is>
          <t>#795548</t>
        </is>
      </c>
      <c r="I11" s="51" t="inlineStr">
        <is>
          <t>77f8ad35bf3130d63658dc9dbf5c5898</t>
        </is>
      </c>
      <c r="J11" s="51" t="b">
        <v>1</v>
      </c>
    </row>
    <row r="12">
      <c r="A12" s="35" t="inlineStr">
        <is>
          <t>Auto-Befüllung beim Dashboard-Lauf:</t>
        </is>
      </c>
    </row>
    <row r="13">
      <c r="A13" s="47" t="inlineStr">
        <is>
          <t>• Spalte 8 leer → Default-Farbe #0D595A (Vacura-Teal)</t>
        </is>
      </c>
    </row>
    <row r="14">
      <c r="A14" s="47" t="inlineStr">
        <is>
          <t>• Spalte 9 leer → Token wird per secrets.token_hex(16) erzeugt + hier eingetragen</t>
        </is>
      </c>
    </row>
    <row r="15">
      <c r="A15" s="47" t="inlineStr">
        <is>
          <t>• Spalte 10 leer → Aktiv=Ja angenommen. Auf FALSE setzen um PM zu deaktivieren (z.B. Austritt)</t>
        </is>
      </c>
    </row>
    <row r="16">
      <c r="A16" s="47" t="inlineStr">
        <is>
          <t>• Plus: Daten-Tab Stammdaten-Spalten 1-6 werden parallel gespiegelt, falls dort noch keine Zeile</t>
        </is>
      </c>
    </row>
  </sheetData>
  <mergeCells count="3">
    <mergeCell ref="A1:J1"/>
    <mergeCell ref="A13:J13"/>
    <mergeCell ref="A3:J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2"/>
  <sheetViews>
    <sheetView tabSelected="1" workbookViewId="0">
      <selection activeCell="J21" sqref="J21"/>
    </sheetView>
  </sheetViews>
  <sheetFormatPr baseColWidth="10" defaultColWidth="8.83203125" defaultRowHeight="15"/>
  <cols>
    <col width="10" customWidth="1" style="45" min="1" max="1"/>
    <col width="12" customWidth="1" style="45" min="2" max="2"/>
    <col width="10" customWidth="1" style="45" min="3" max="5"/>
    <col width="14" customWidth="1" style="45" min="6" max="6"/>
    <col width="11" customWidth="1" style="45" min="7" max="7"/>
    <col width="10" customWidth="1" style="45" min="8" max="9"/>
    <col width="11" customWidth="1" style="45" min="10" max="10"/>
    <col width="14" customWidth="1" style="45" min="11" max="11"/>
    <col width="11" customWidth="1" style="45" min="12" max="12"/>
    <col width="9" customWidth="1" style="45" min="13" max="13"/>
    <col width="11" customWidth="1" style="45" min="14" max="16"/>
    <col width="16" customWidth="1" style="45" min="17" max="17"/>
    <col width="24" customWidth="1" style="45" min="18" max="18"/>
    <col width="18" customWidth="1" style="45" min="19" max="19"/>
    <col width="14" customWidth="1" style="45" min="20" max="20"/>
  </cols>
  <sheetData>
    <row r="1" ht="19" customHeight="1" s="45">
      <c r="A1" s="46" t="inlineStr">
        <is>
          <t>📊 Quartals-Bewertungen (Input + Output in einem Sheet)</t>
        </is>
      </c>
    </row>
    <row r="3" ht="45" customHeight="1" s="45">
      <c r="A3" s="44" t="inlineStr">
        <is>
          <t>Du trägst nur die GELBEN Spalten ein (Zufriedenheit + MediFox-IST). Der Rest wird beim Q-End-Lauf (8. Tag des Folge-Monats) automatisch vom Code befüllt. Status-Spalte zeigt was noch fehlt oder ob Diff &gt; 2 %.</t>
        </is>
      </c>
    </row>
    <row r="5">
      <c r="A5" s="47" t="inlineStr">
        <is>
          <t>🟡 GELB = manuell von dir · 🟦 HELLBLAU = Code befüllt automatisch</t>
        </is>
      </c>
    </row>
    <row r="7" ht="28" customHeight="1" s="45">
      <c r="A7" s="37" t="inlineStr">
        <is>
          <t>Quartal</t>
        </is>
      </c>
      <c r="B7" s="37" t="inlineStr">
        <is>
          <t>PM</t>
        </is>
      </c>
      <c r="C7" s="37" t="inlineStr">
        <is>
          <t>Rücken</t>
        </is>
      </c>
      <c r="D7" s="37" t="inlineStr">
        <is>
          <t>Komm</t>
        </is>
      </c>
      <c r="E7" s="37" t="inlineStr">
        <is>
          <t>eNPS</t>
        </is>
      </c>
      <c r="F7" s="37" t="inlineStr">
        <is>
          <t>MediFox-IST €</t>
        </is>
      </c>
      <c r="G7" s="37" t="inlineStr">
        <is>
          <t>Zufr-Score</t>
        </is>
      </c>
      <c r="H7" s="37" t="inlineStr">
        <is>
          <t>Vstd ber</t>
        </is>
      </c>
      <c r="I7" s="37" t="inlineStr">
        <is>
          <t>Abw ber</t>
        </is>
      </c>
      <c r="J7" s="37" t="inlineStr">
        <is>
          <t>Feiertage h</t>
        </is>
      </c>
      <c r="K7" s="37" t="inlineStr">
        <is>
          <t>IST €</t>
        </is>
      </c>
      <c r="L7" s="37" t="inlineStr">
        <is>
          <t>verfueg h</t>
        </is>
      </c>
      <c r="M7" s="37" t="inlineStr">
        <is>
          <t>€/h</t>
        </is>
      </c>
      <c r="N7" s="37" t="inlineStr">
        <is>
          <t>Rechn-Stufe</t>
        </is>
      </c>
      <c r="O7" s="37" t="inlineStr">
        <is>
          <t>Tats-Stufe</t>
        </is>
      </c>
      <c r="P7" s="37" t="inlineStr">
        <is>
          <t>Probezeit</t>
        </is>
      </c>
      <c r="Q7" s="37" t="inlineStr">
        <is>
          <t>Diff € (NocoDB−MediFox)</t>
        </is>
      </c>
      <c r="R7" s="37" t="inlineStr">
        <is>
          <t>Status</t>
        </is>
      </c>
      <c r="S7" s="37" t="inlineStr">
        <is>
          <t>Berechnet am</t>
        </is>
      </c>
      <c r="T7" s="37" t="inlineStr">
        <is>
          <t>Bundle-Anteile (fix)</t>
        </is>
      </c>
    </row>
    <row r="8">
      <c r="A8" t="inlineStr">
        <is>
          <t>Q1 2026</t>
        </is>
      </c>
      <c r="B8" t="inlineStr">
        <is>
          <t>Laura</t>
        </is>
      </c>
      <c r="C8" s="48" t="n">
        <v>8.5</v>
      </c>
      <c r="D8" s="48" t="n">
        <v>8</v>
      </c>
      <c r="E8" s="48" t="n">
        <v>8.699999999999999</v>
      </c>
      <c r="F8" s="38" t="n">
        <v>299437</v>
      </c>
      <c r="G8" s="39" t="n">
        <v>8.52</v>
      </c>
      <c r="H8" s="39" t="n">
        <v>4686.3</v>
      </c>
      <c r="I8" s="39" t="n">
        <v>554.8</v>
      </c>
      <c r="J8" s="39" t="n"/>
      <c r="K8" s="40" t="n">
        <v>291941</v>
      </c>
      <c r="L8" s="39" t="n">
        <v>4131.5</v>
      </c>
      <c r="M8" s="39" t="n">
        <v>70.66</v>
      </c>
      <c r="N8" s="39" t="n">
        <v>2</v>
      </c>
      <c r="O8" s="39" t="n">
        <v>2</v>
      </c>
      <c r="P8" s="39" t="inlineStr">
        <is>
          <t>Nein</t>
        </is>
      </c>
      <c r="Q8" s="40" t="n">
        <v>-7496</v>
      </c>
      <c r="R8" s="39" t="inlineStr">
        <is>
          <t>🔒 Q1 historisch eingefroren</t>
        </is>
      </c>
      <c r="S8" s="39" t="inlineStr">
        <is>
          <t>2026-03-31 (Excel-Bestand, alte Methode)</t>
        </is>
      </c>
      <c r="T8" t="n">
        <v>7</v>
      </c>
    </row>
    <row r="9">
      <c r="A9" t="inlineStr">
        <is>
          <t>Q1 2026</t>
        </is>
      </c>
      <c r="B9" t="inlineStr">
        <is>
          <t>Marleen</t>
        </is>
      </c>
      <c r="C9" s="48" t="n">
        <v>8.5</v>
      </c>
      <c r="D9" s="48" t="n">
        <v>8.699999999999999</v>
      </c>
      <c r="E9" s="48" t="n">
        <v>8</v>
      </c>
      <c r="F9" s="38" t="n">
        <v>351752</v>
      </c>
      <c r="G9" s="39" t="n">
        <v>8.24</v>
      </c>
      <c r="H9" s="39" t="n">
        <v>5343.5</v>
      </c>
      <c r="I9" s="39" t="n">
        <v>293.5</v>
      </c>
      <c r="J9" s="39" t="n"/>
      <c r="K9" s="40" t="n">
        <v>337924</v>
      </c>
      <c r="L9" s="39" t="n">
        <v>5050</v>
      </c>
      <c r="M9" s="39" t="n">
        <v>66.92</v>
      </c>
      <c r="N9" s="39" t="n">
        <v>2</v>
      </c>
      <c r="O9" s="39" t="n">
        <v>2</v>
      </c>
      <c r="P9" s="39" t="inlineStr">
        <is>
          <t>Nein</t>
        </is>
      </c>
      <c r="Q9" s="40" t="n">
        <v>-13828</v>
      </c>
      <c r="R9" s="39" t="inlineStr">
        <is>
          <t>🔒 Q1 historisch eingefroren</t>
        </is>
      </c>
      <c r="S9" s="39" t="inlineStr">
        <is>
          <t>2026-03-31 (Excel-Bestand, alte Methode)</t>
        </is>
      </c>
      <c r="T9" t="n">
        <v>7</v>
      </c>
    </row>
    <row r="10">
      <c r="A10" t="inlineStr">
        <is>
          <t>Q1 2026</t>
        </is>
      </c>
      <c r="B10" t="inlineStr">
        <is>
          <t>Luise</t>
        </is>
      </c>
      <c r="C10" s="48" t="n">
        <v>8.5</v>
      </c>
      <c r="D10" s="48" t="n">
        <v>8.699999999999999</v>
      </c>
      <c r="E10" s="48" t="n"/>
      <c r="F10" s="38" t="n">
        <v>351752</v>
      </c>
      <c r="G10" s="39" t="n"/>
      <c r="H10" s="39" t="n"/>
      <c r="I10" s="39" t="n"/>
      <c r="J10" s="39" t="n"/>
      <c r="K10" s="40" t="n"/>
      <c r="L10" s="39" t="n"/>
      <c r="M10" s="39" t="n"/>
      <c r="N10" s="39" t="n">
        <v>1</v>
      </c>
      <c r="O10" s="39" t="n">
        <v>1</v>
      </c>
      <c r="P10" s="39" t="inlineStr">
        <is>
          <t>Ja</t>
        </is>
      </c>
      <c r="Q10" s="40" t="n"/>
      <c r="R10" s="39" t="inlineStr">
        <is>
          <t>🔒 Q1 historisch eingefroren</t>
        </is>
      </c>
      <c r="S10" s="39" t="inlineStr">
        <is>
          <t>2026-03-31 (Excel-Bestand, alte Methode)</t>
        </is>
      </c>
      <c r="T10" t="n">
        <v>0</v>
      </c>
    </row>
    <row r="11">
      <c r="A11" t="inlineStr">
        <is>
          <t>Q1 2026</t>
        </is>
      </c>
      <c r="B11" t="inlineStr">
        <is>
          <t>Max</t>
        </is>
      </c>
      <c r="C11" s="48" t="n">
        <v>8.5</v>
      </c>
      <c r="D11" s="48" t="n">
        <v>7.8</v>
      </c>
      <c r="E11" s="48" t="n">
        <v>8.800000000000001</v>
      </c>
      <c r="F11" s="38" t="n">
        <v>299437</v>
      </c>
      <c r="G11" s="39" t="n">
        <v>8.539999999999999</v>
      </c>
      <c r="H11" s="39" t="n"/>
      <c r="I11" s="39" t="n"/>
      <c r="J11" s="39" t="n"/>
      <c r="K11" s="40" t="n"/>
      <c r="L11" s="39" t="n"/>
      <c r="M11" s="39" t="n"/>
      <c r="N11" s="39" t="n">
        <v>1</v>
      </c>
      <c r="O11" s="39" t="n">
        <v>1</v>
      </c>
      <c r="P11" s="39" t="inlineStr">
        <is>
          <t>Ja</t>
        </is>
      </c>
      <c r="Q11" s="40" t="n"/>
      <c r="R11" s="39" t="inlineStr">
        <is>
          <t>🔒 Q1 historisch eingefroren</t>
        </is>
      </c>
      <c r="S11" s="39" t="inlineStr">
        <is>
          <t>2026-03-31 (Excel-Bestand, alte Methode)</t>
        </is>
      </c>
      <c r="T11" t="n">
        <v>0</v>
      </c>
    </row>
    <row r="12">
      <c r="A12" t="inlineStr">
        <is>
          <t>Q2 2026</t>
        </is>
      </c>
      <c r="B12" t="inlineStr">
        <is>
          <t>Laura</t>
        </is>
      </c>
      <c r="C12" s="48" t="n">
        <v>8.9</v>
      </c>
      <c r="D12" s="48" t="n">
        <v>8.300000000000001</v>
      </c>
      <c r="E12" s="48" t="n">
        <v>8.4</v>
      </c>
      <c r="F12" s="38" t="n">
        <v>291382</v>
      </c>
      <c r="G12" t="n">
        <v>8.48</v>
      </c>
      <c r="H12" t="n">
        <v>5296.1</v>
      </c>
      <c r="I12" t="n">
        <v>805</v>
      </c>
      <c r="J12" t="n">
        <v>365.5</v>
      </c>
      <c r="K12" t="n">
        <v>291653</v>
      </c>
      <c r="L12" t="n">
        <v>4125.6</v>
      </c>
      <c r="M12" t="n">
        <v>70.69</v>
      </c>
      <c r="N12" t="n">
        <v>2</v>
      </c>
      <c r="O12" t="n">
        <v>2</v>
      </c>
      <c r="P12" t="inlineStr">
        <is>
          <t>Nein</t>
        </is>
      </c>
      <c r="Q12" t="n">
        <v>271</v>
      </c>
      <c r="R12" s="48" t="inlineStr">
        <is>
          <t>✓ OK</t>
        </is>
      </c>
      <c r="S12" t="inlineStr">
        <is>
          <t>2026-07-23 13:57</t>
        </is>
      </c>
      <c r="T12" t="n">
        <v>7</v>
      </c>
    </row>
    <row r="13">
      <c r="A13" t="inlineStr">
        <is>
          <t>Q2 2026</t>
        </is>
      </c>
      <c r="B13" t="inlineStr">
        <is>
          <t>Marleen</t>
        </is>
      </c>
      <c r="C13" s="48" t="n">
        <v>8.199999999999999</v>
      </c>
      <c r="D13" s="48" t="n">
        <v>7.4</v>
      </c>
      <c r="E13" s="48" t="n">
        <v>7.8</v>
      </c>
      <c r="F13" s="38" t="n">
        <v>418775</v>
      </c>
      <c r="G13" t="n">
        <v>7.8</v>
      </c>
      <c r="H13" t="n">
        <v>7101.8</v>
      </c>
      <c r="I13" t="n">
        <v>1145.2</v>
      </c>
      <c r="J13" t="n">
        <v>428</v>
      </c>
      <c r="K13" t="n">
        <v>384219</v>
      </c>
      <c r="L13" t="n">
        <v>5528.5</v>
      </c>
      <c r="M13" t="n">
        <v>69.5</v>
      </c>
      <c r="N13" t="n">
        <v>2</v>
      </c>
      <c r="O13" t="n">
        <v>2</v>
      </c>
      <c r="P13" t="inlineStr">
        <is>
          <t>Nein</t>
        </is>
      </c>
      <c r="Q13" t="n">
        <v>-34556</v>
      </c>
      <c r="R13" s="48" t="inlineStr">
        <is>
          <t>✓ plausibel (-8.3 % — 29-Tage-/Deaktivierungs-Abzug)</t>
        </is>
      </c>
      <c r="S13" t="inlineStr">
        <is>
          <t>2026-07-23 13:57</t>
        </is>
      </c>
      <c r="T13" t="n">
        <v>10</v>
      </c>
    </row>
    <row r="14">
      <c r="A14" t="inlineStr">
        <is>
          <t>Q2 2026</t>
        </is>
      </c>
      <c r="B14" t="inlineStr">
        <is>
          <t>Luise</t>
        </is>
      </c>
      <c r="C14" s="48" t="n">
        <v>9.199999999999999</v>
      </c>
      <c r="D14" s="48" t="n">
        <v>9.199999999999999</v>
      </c>
      <c r="E14" s="48" t="n">
        <v>9.199999999999999</v>
      </c>
      <c r="F14" s="38" t="n">
        <v>418775</v>
      </c>
      <c r="G14" t="n">
        <v>9.199999999999999</v>
      </c>
      <c r="H14" t="n">
        <v>7101.8</v>
      </c>
      <c r="I14" t="n">
        <v>1145.2</v>
      </c>
      <c r="J14" t="n">
        <v>428</v>
      </c>
      <c r="K14" t="n">
        <v>384219</v>
      </c>
      <c r="L14" t="n">
        <v>5528.5</v>
      </c>
      <c r="M14" t="n">
        <v>69.5</v>
      </c>
      <c r="N14" t="n">
        <v>2</v>
      </c>
      <c r="O14" t="n">
        <v>1</v>
      </c>
      <c r="P14" t="inlineStr">
        <is>
          <t>Ja (bis 31.07.2026; ab 01.08.2026: 4.042 €/Mon = Stufe 2 + 10 Anteile, Teamstand 23.07.2026)</t>
        </is>
      </c>
      <c r="Q14" t="n">
        <v>-34556</v>
      </c>
      <c r="R14" s="48" t="inlineStr">
        <is>
          <t>✓ plausibel (-8.3 % — 29-Tage-/Deaktivierungs-Abzug)</t>
        </is>
      </c>
      <c r="S14" t="inlineStr">
        <is>
          <t>2026-07-23 13:57</t>
        </is>
      </c>
      <c r="T14" t="n">
        <v>10</v>
      </c>
    </row>
    <row r="15">
      <c r="A15" t="inlineStr">
        <is>
          <t>Q2 2026</t>
        </is>
      </c>
      <c r="B15" t="inlineStr">
        <is>
          <t>Max</t>
        </is>
      </c>
      <c r="C15" s="48" t="n">
        <v>9.4</v>
      </c>
      <c r="D15" s="48" t="n">
        <v>9.300000000000001</v>
      </c>
      <c r="E15" s="48" t="n">
        <v>8.9</v>
      </c>
      <c r="F15" s="38" t="n">
        <v>291382</v>
      </c>
      <c r="G15" t="n">
        <v>9.08</v>
      </c>
      <c r="H15" t="n">
        <v>5296.1</v>
      </c>
      <c r="I15" t="n">
        <v>805</v>
      </c>
      <c r="J15" t="n">
        <v>365.5</v>
      </c>
      <c r="K15" t="n">
        <v>291653</v>
      </c>
      <c r="L15" t="n">
        <v>4125.6</v>
      </c>
      <c r="M15" t="n">
        <v>70.69</v>
      </c>
      <c r="N15" t="n">
        <v>2</v>
      </c>
      <c r="O15" t="n">
        <v>1</v>
      </c>
      <c r="P15" t="inlineStr">
        <is>
          <t>Ja (bis 31.07.2026; ab 01.08.2026: 2.900 €/Mon = Stufe 2 + 6 Anteile, Teamstand 23.07.2026)</t>
        </is>
      </c>
      <c r="Q15" t="n">
        <v>271</v>
      </c>
      <c r="R15" s="48" t="inlineStr">
        <is>
          <t>✓ OK</t>
        </is>
      </c>
      <c r="S15" t="inlineStr">
        <is>
          <t>2026-07-23 13:57</t>
        </is>
      </c>
      <c r="T15" t="n">
        <v>6</v>
      </c>
    </row>
    <row r="16" s="45">
      <c r="A16" t="inlineStr">
        <is>
          <t>Q2 2026</t>
        </is>
      </c>
      <c r="B16" t="inlineStr">
        <is>
          <t>Emily</t>
        </is>
      </c>
      <c r="F16" t="n">
        <v>418775</v>
      </c>
      <c r="H16" t="n">
        <v>7101.8</v>
      </c>
      <c r="I16" t="n">
        <v>1145.2</v>
      </c>
      <c r="J16" t="n">
        <v>428</v>
      </c>
      <c r="K16" t="n">
        <v>384219</v>
      </c>
      <c r="L16" t="n">
        <v>5528.5</v>
      </c>
      <c r="M16" t="n">
        <v>69.5</v>
      </c>
      <c r="N16" t="n">
        <v>1</v>
      </c>
      <c r="O16" t="n">
        <v>1</v>
      </c>
      <c r="P16" t="inlineStr">
        <is>
          <t>Ja (bis 31.12.2026)</t>
        </is>
      </c>
      <c r="Q16" t="n">
        <v>-34556</v>
      </c>
      <c r="R16" t="inlineStr">
        <is>
          <t>✓ plausibel (-8.3 % — 29-Tage-/Deaktivierungs-Abzug)</t>
        </is>
      </c>
      <c r="S16" t="inlineStr">
        <is>
          <t>2026-07-23 13:57</t>
        </is>
      </c>
      <c r="T16" t="n">
        <v>0</v>
      </c>
    </row>
    <row r="17" s="45">
      <c r="A17" t="inlineStr">
        <is>
          <t>Q2 2026</t>
        </is>
      </c>
      <c r="B17" t="inlineStr">
        <is>
          <t>Anna</t>
        </is>
      </c>
      <c r="F17" t="n">
        <v>291382</v>
      </c>
      <c r="H17" t="n">
        <v>5296.1</v>
      </c>
      <c r="I17" t="n">
        <v>805</v>
      </c>
      <c r="J17" t="n">
        <v>365.5</v>
      </c>
      <c r="K17" t="n">
        <v>291653</v>
      </c>
      <c r="L17" t="n">
        <v>4125.6</v>
      </c>
      <c r="M17" t="n">
        <v>70.69</v>
      </c>
      <c r="N17" t="n">
        <v>1</v>
      </c>
      <c r="O17" t="n">
        <v>1</v>
      </c>
      <c r="P17" t="inlineStr">
        <is>
          <t>Ja (bis 31.01.2027)</t>
        </is>
      </c>
      <c r="Q17" t="n">
        <v>271</v>
      </c>
      <c r="R17" t="inlineStr">
        <is>
          <t>✓ OK</t>
        </is>
      </c>
      <c r="S17" t="inlineStr">
        <is>
          <t>2026-09-09 (Stammdaten nachgetragen, Bundle-Werte = Laura Q2)</t>
        </is>
      </c>
      <c r="T17" t="n">
        <v>0</v>
      </c>
    </row>
    <row r="19" ht="20" customHeight="1" s="45">
      <c r="G19" s="63" t="n"/>
      <c r="H19" s="63" t="n"/>
      <c r="I19" s="61" t="n"/>
    </row>
    <row r="20" ht="20" customHeight="1" s="45">
      <c r="G20" s="63" t="n"/>
      <c r="H20" s="63" t="n"/>
      <c r="I20" s="61" t="n"/>
    </row>
    <row r="21" ht="20" customHeight="1" s="45">
      <c r="G21" s="63" t="n"/>
      <c r="H21" s="63" t="n"/>
      <c r="I21" s="62" t="n"/>
    </row>
    <row r="22" ht="20" customHeight="1" s="45">
      <c r="G22" s="63" t="n"/>
      <c r="H22" s="63" t="n"/>
      <c r="I22" s="61" t="n"/>
    </row>
  </sheetData>
  <mergeCells count="3">
    <mergeCell ref="A3:S3"/>
    <mergeCell ref="A1:S1"/>
    <mergeCell ref="A5:S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BDBDBD"/>
    <outlinePr summaryBelow="1" summaryRight="1"/>
    <pageSetUpPr/>
  </sheetPr>
  <dimension ref="B2:F9"/>
  <sheetViews>
    <sheetView zoomScaleNormal="100" workbookViewId="0">
      <selection activeCell="A1" sqref="A1"/>
    </sheetView>
  </sheetViews>
  <sheetFormatPr baseColWidth="10" defaultColWidth="8.6640625" defaultRowHeight="15" customHeight="1"/>
  <cols>
    <col width="2" customWidth="1" style="45" min="1" max="1"/>
    <col width="38" customWidth="1" style="45" min="2" max="2"/>
    <col width="2" customWidth="1" style="45" min="3" max="3"/>
    <col width="16" customWidth="1" style="45" min="4" max="4"/>
    <col width="2" customWidth="1" style="45" min="5" max="5"/>
    <col width="24" customWidth="1" style="45" min="6" max="6"/>
  </cols>
  <sheetData>
    <row r="2" ht="20" customHeight="1" s="45">
      <c r="B2" s="6" t="inlineStr">
        <is>
          <t>Parameter</t>
        </is>
      </c>
    </row>
    <row r="3">
      <c r="B3" s="7" t="inlineStr">
        <is>
          <t>Einstellungen für die Geschäftsführung</t>
        </is>
      </c>
    </row>
    <row r="4">
      <c r="B4" s="1" t="inlineStr">
        <is>
          <t>Vorbereitungszeit-Faktor:</t>
        </is>
      </c>
      <c r="D4" s="10" t="n">
        <v>0.825</v>
      </c>
      <c r="F4" s="2" t="inlineStr">
        <is>
          <t>82,5% der Stunden = Therapiezeit</t>
        </is>
      </c>
    </row>
    <row r="5">
      <c r="B5" s="1" t="inlineStr">
        <is>
          <t>Krankheitspuffer:</t>
        </is>
      </c>
      <c r="D5" s="11" t="n">
        <v>0.1</v>
      </c>
      <c r="F5" s="2" t="inlineStr">
        <is>
          <t>10% einkalkuliert</t>
        </is>
      </c>
    </row>
    <row r="6">
      <c r="B6" s="1" t="inlineStr">
        <is>
          <t>Kassensatz (Planbasis):</t>
        </is>
      </c>
      <c r="D6" s="12" t="n">
        <v>103</v>
      </c>
      <c r="F6" s="2" t="inlineStr">
        <is>
          <t>GKV-Durchschnitt</t>
        </is>
      </c>
    </row>
    <row r="7">
      <c r="B7" s="1" t="inlineStr">
        <is>
          <t>Sockelgehalt (40h):</t>
        </is>
      </c>
      <c r="D7" s="12" t="n">
        <v>40000</v>
      </c>
      <c r="F7" s="2" t="inlineStr">
        <is>
          <t>brutto/Jahr</t>
        </is>
      </c>
    </row>
    <row r="9">
      <c r="C9" s="14" t="n"/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tabColor rgb="FFBDBDBD"/>
    <outlinePr summaryBelow="1" summaryRight="1"/>
    <pageSetUpPr/>
  </sheetPr>
  <dimension ref="A1:G10"/>
  <sheetViews>
    <sheetView zoomScaleNormal="100" workbookViewId="0">
      <selection activeCell="B102" sqref="B102"/>
    </sheetView>
  </sheetViews>
  <sheetFormatPr baseColWidth="10" defaultColWidth="8.6640625" defaultRowHeight="15" customHeight="1"/>
  <cols>
    <col width="8" customWidth="1" style="45" min="1" max="1"/>
    <col width="16" customWidth="1" style="45" min="2" max="2"/>
    <col width="14" customWidth="1" style="45" min="4" max="4"/>
    <col width="12" customWidth="1" style="45" min="5" max="5"/>
  </cols>
  <sheetData>
    <row r="1">
      <c r="A1" s="3" t="inlineStr">
        <is>
          <t>Stufe</t>
        </is>
      </c>
      <c r="B1" s="3" t="n"/>
      <c r="C1" s="3" t="n"/>
      <c r="D1" s="3" t="inlineStr">
        <is>
          <t>Zufried.</t>
        </is>
      </c>
      <c r="E1" s="3" t="inlineStr">
        <is>
          <t>Zulage %</t>
        </is>
      </c>
      <c r="F1" s="16" t="inlineStr">
        <is>
          <t>€/60min Therapie (Basis bis Q2 2026)</t>
        </is>
      </c>
      <c r="G1" s="64" t="inlineStr">
        <is>
          <t>€/60min ab Q3 2026 (×1,0411)</t>
        </is>
      </c>
    </row>
    <row r="2">
      <c r="A2" s="13" t="n">
        <v>1</v>
      </c>
      <c r="B2" s="9" t="n"/>
      <c r="D2" s="9" t="n">
        <v>5</v>
      </c>
      <c r="E2" s="8" t="n">
        <v>0</v>
      </c>
      <c r="F2" s="17" t="n">
        <v>61.17</v>
      </c>
      <c r="G2" t="n">
        <v>63.68</v>
      </c>
    </row>
    <row r="3">
      <c r="A3" s="13" t="n">
        <v>2</v>
      </c>
      <c r="B3" s="9" t="n"/>
      <c r="D3" s="9" t="n">
        <v>6</v>
      </c>
      <c r="E3" s="8" t="n">
        <v>0.11</v>
      </c>
      <c r="F3" s="17" t="n">
        <v>66.54000000000001</v>
      </c>
      <c r="G3" t="n">
        <v>69.27</v>
      </c>
    </row>
    <row r="4">
      <c r="A4" s="13" t="n">
        <v>3</v>
      </c>
      <c r="B4" s="9" t="n"/>
      <c r="D4" s="9" t="n">
        <v>7</v>
      </c>
      <c r="E4" s="8" t="n">
        <v>0.22</v>
      </c>
      <c r="F4" s="17" t="n">
        <v>72.64</v>
      </c>
      <c r="G4" t="n">
        <v>75.63</v>
      </c>
    </row>
    <row r="5">
      <c r="A5" s="13" t="n">
        <v>4</v>
      </c>
      <c r="B5" s="9" t="n"/>
      <c r="D5" s="9" t="n">
        <v>8</v>
      </c>
      <c r="E5" s="8" t="n">
        <v>0.33</v>
      </c>
      <c r="F5" s="17" t="n">
        <v>77.28</v>
      </c>
      <c r="G5" t="n">
        <v>80.45999999999999</v>
      </c>
    </row>
    <row r="6">
      <c r="A6" s="13" t="n">
        <v>5</v>
      </c>
      <c r="B6" s="9" t="n"/>
      <c r="D6" s="9" t="n">
        <v>8.5</v>
      </c>
      <c r="E6" s="8" t="n">
        <v>0.44</v>
      </c>
      <c r="F6" s="17" t="n">
        <v>84.11</v>
      </c>
      <c r="G6" t="n">
        <v>87.56999999999999</v>
      </c>
    </row>
    <row r="7">
      <c r="A7" s="13" t="n">
        <v>6</v>
      </c>
      <c r="B7" s="9" t="n"/>
      <c r="D7" s="9" t="n">
        <v>8.5</v>
      </c>
      <c r="E7" s="8" t="n">
        <v>0.55</v>
      </c>
      <c r="F7" s="17" t="n">
        <v>89.48</v>
      </c>
      <c r="G7" t="n">
        <v>93.16</v>
      </c>
    </row>
    <row r="10">
      <c r="A10" s="52" t="inlineStr">
        <is>
          <t>Die €/60min-Spalte zeigt Umsatz pro Therapie-Stunde (Bundle-unabhängig, = IST ÷ verfügbare Zeit). Hinweis: Spalte „Leistungsindex" entfiel mit v18 — Stufen-Zuordnung läuft jetzt ausschließlich über €/60min. Schwellen-Indexierung (§ 4 Abs. 6): Bei jeder GKV-Satzerhöhung steigen die €/60min-Schwellen mit demselben Faktor — ab Q3 2026 ×1,0411 (Spalte G). Die Q-End-Routine nutzt automatisch die zum Bewertungsquartal gültigen Schwellen (generate.py: stufen_eff). Zufriedenheits-Schwellen und Zulagen-%: unverändert.</t>
        </is>
      </c>
    </row>
    <row r="11" ht="35" customHeight="1" s="45"/>
    <row r="97" ht="51" customHeight="1" s="45"/>
  </sheetData>
  <mergeCells count="1">
    <mergeCell ref="A10:F10"/>
  </mergeCells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tabColor rgb="FFBDBDBD"/>
    <outlinePr summaryBelow="1" summaryRight="1"/>
    <pageSetUpPr/>
  </sheetPr>
  <dimension ref="A1:D22"/>
  <sheetViews>
    <sheetView zoomScaleNormal="100" workbookViewId="0">
      <selection activeCell="A1" sqref="A1"/>
    </sheetView>
  </sheetViews>
  <sheetFormatPr baseColWidth="10" defaultColWidth="8.6640625" defaultRowHeight="15" customHeight="1"/>
  <cols>
    <col width="6" customWidth="1" style="45" min="1" max="1"/>
    <col width="14" customWidth="1" style="45" min="2" max="3"/>
    <col width="16" customWidth="1" style="45" min="4" max="4"/>
  </cols>
  <sheetData>
    <row r="1">
      <c r="A1" s="3" t="inlineStr">
        <is>
          <t>TH</t>
        </is>
      </c>
      <c r="B1" s="3" t="inlineStr">
        <is>
          <t>Band</t>
        </is>
      </c>
      <c r="C1" s="3" t="inlineStr">
        <is>
          <t>€/TH</t>
        </is>
      </c>
      <c r="D1" s="3" t="inlineStr">
        <is>
          <t>Kumuliert</t>
        </is>
      </c>
    </row>
    <row r="2">
      <c r="A2" s="13" t="n">
        <v>0</v>
      </c>
      <c r="B2" s="4" t="inlineStr">
        <is>
          <t>—</t>
        </is>
      </c>
      <c r="C2" s="5" t="n">
        <v>0</v>
      </c>
      <c r="D2" s="5" t="n">
        <v>0</v>
      </c>
    </row>
    <row r="3">
      <c r="A3" s="13" t="n">
        <v>1</v>
      </c>
      <c r="B3" s="4" t="inlineStr">
        <is>
          <t>Basis</t>
        </is>
      </c>
      <c r="C3" s="5" t="n">
        <v>250</v>
      </c>
      <c r="D3" s="5">
        <f>D2+C3</f>
        <v/>
      </c>
    </row>
    <row r="4">
      <c r="A4" s="13" t="n">
        <v>2</v>
      </c>
      <c r="B4" s="4" t="inlineStr">
        <is>
          <t>Basis</t>
        </is>
      </c>
      <c r="C4" s="5" t="n">
        <v>250</v>
      </c>
      <c r="D4" s="5">
        <f>D3+C4</f>
        <v/>
      </c>
    </row>
    <row r="5">
      <c r="A5" s="13" t="n">
        <v>3</v>
      </c>
      <c r="B5" s="4" t="inlineStr">
        <is>
          <t>Basis</t>
        </is>
      </c>
      <c r="C5" s="5" t="n">
        <v>250</v>
      </c>
      <c r="D5" s="5">
        <f>D4+C5</f>
        <v/>
      </c>
    </row>
    <row r="6">
      <c r="A6" s="13" t="n">
        <v>4</v>
      </c>
      <c r="B6" s="4" t="inlineStr">
        <is>
          <t>Basis</t>
        </is>
      </c>
      <c r="C6" s="5" t="n">
        <v>250</v>
      </c>
      <c r="D6" s="5">
        <f>D5+C6</f>
        <v/>
      </c>
    </row>
    <row r="7">
      <c r="A7" s="13" t="n">
        <v>5</v>
      </c>
      <c r="B7" s="4" t="inlineStr">
        <is>
          <t>Mitte</t>
        </is>
      </c>
      <c r="C7" s="5" t="n">
        <v>400</v>
      </c>
      <c r="D7" s="5">
        <f>D6+C7</f>
        <v/>
      </c>
    </row>
    <row r="8">
      <c r="A8" s="13" t="n">
        <v>6</v>
      </c>
      <c r="B8" s="4" t="inlineStr">
        <is>
          <t>Mitte</t>
        </is>
      </c>
      <c r="C8" s="5" t="n">
        <v>400</v>
      </c>
      <c r="D8" s="5">
        <f>D7+C8</f>
        <v/>
      </c>
    </row>
    <row r="9">
      <c r="A9" s="13" t="n">
        <v>7</v>
      </c>
      <c r="B9" s="4" t="inlineStr">
        <is>
          <t>Mitte</t>
        </is>
      </c>
      <c r="C9" s="5" t="n">
        <v>400</v>
      </c>
      <c r="D9" s="5">
        <f>D8+C9</f>
        <v/>
      </c>
    </row>
    <row r="10">
      <c r="A10" s="13" t="n">
        <v>8</v>
      </c>
      <c r="B10" s="4" t="inlineStr">
        <is>
          <t>Mitte</t>
        </is>
      </c>
      <c r="C10" s="5" t="n">
        <v>400</v>
      </c>
      <c r="D10" s="5">
        <f>D9+C10</f>
        <v/>
      </c>
    </row>
    <row r="11">
      <c r="A11" s="13" t="n">
        <v>9</v>
      </c>
      <c r="B11" s="4" t="inlineStr">
        <is>
          <t>Mitte</t>
        </is>
      </c>
      <c r="C11" s="5" t="n">
        <v>400</v>
      </c>
      <c r="D11" s="5">
        <f>D10+C11</f>
        <v/>
      </c>
    </row>
    <row r="12">
      <c r="A12" s="13" t="n">
        <v>10</v>
      </c>
      <c r="B12" s="4" t="inlineStr">
        <is>
          <t>Wachstum</t>
        </is>
      </c>
      <c r="C12" s="5" t="n">
        <v>700</v>
      </c>
      <c r="D12" s="5">
        <f>D11+C12</f>
        <v/>
      </c>
    </row>
    <row r="13">
      <c r="A13" s="13" t="n">
        <v>11</v>
      </c>
      <c r="B13" s="4" t="inlineStr">
        <is>
          <t>Wachstum</t>
        </is>
      </c>
      <c r="C13" s="5" t="n">
        <v>700</v>
      </c>
      <c r="D13" s="5">
        <f>D12+C13</f>
        <v/>
      </c>
    </row>
    <row r="14">
      <c r="A14" s="13" t="n">
        <v>12</v>
      </c>
      <c r="B14" s="4" t="inlineStr">
        <is>
          <t>Wachstum</t>
        </is>
      </c>
      <c r="C14" s="5" t="n">
        <v>700</v>
      </c>
      <c r="D14" s="5">
        <f>D13+C14</f>
        <v/>
      </c>
    </row>
    <row r="15">
      <c r="A15" s="13" t="n">
        <v>13</v>
      </c>
      <c r="B15" s="4" t="inlineStr">
        <is>
          <t>Wachstum</t>
        </is>
      </c>
      <c r="C15" s="5" t="n">
        <v>700</v>
      </c>
      <c r="D15" s="5">
        <f>D14+C15</f>
        <v/>
      </c>
    </row>
    <row r="16">
      <c r="A16" s="13" t="n">
        <v>14</v>
      </c>
      <c r="B16" s="4" t="inlineStr">
        <is>
          <t>Wachstum</t>
        </is>
      </c>
      <c r="C16" s="5" t="n">
        <v>700</v>
      </c>
      <c r="D16" s="5">
        <f>D15+C16</f>
        <v/>
      </c>
    </row>
    <row r="17">
      <c r="A17" s="13" t="n">
        <v>15</v>
      </c>
      <c r="B17" s="4" t="inlineStr">
        <is>
          <t>Wachstum</t>
        </is>
      </c>
      <c r="C17" s="5" t="n">
        <v>700</v>
      </c>
      <c r="D17" s="5">
        <f>D16+C17</f>
        <v/>
      </c>
    </row>
    <row r="18">
      <c r="A18" s="13" t="n">
        <v>16</v>
      </c>
      <c r="B18" s="4" t="inlineStr">
        <is>
          <t>Wachstum</t>
        </is>
      </c>
      <c r="C18" s="5" t="n">
        <v>700</v>
      </c>
      <c r="D18" s="5">
        <f>D17+C18</f>
        <v/>
      </c>
    </row>
    <row r="19">
      <c r="A19" s="13" t="n">
        <v>17</v>
      </c>
      <c r="B19" s="4" t="inlineStr">
        <is>
          <t>Wachstum</t>
        </is>
      </c>
      <c r="C19" s="5" t="n">
        <v>700</v>
      </c>
      <c r="D19" s="5">
        <f>D18+C19</f>
        <v/>
      </c>
    </row>
    <row r="20">
      <c r="A20" s="13" t="n">
        <v>18</v>
      </c>
      <c r="B20" s="4" t="inlineStr">
        <is>
          <t>Wachstum</t>
        </is>
      </c>
      <c r="C20" s="5" t="n">
        <v>700</v>
      </c>
      <c r="D20" s="5">
        <f>D19+C20</f>
        <v/>
      </c>
    </row>
    <row r="21">
      <c r="A21" s="13" t="n">
        <v>19</v>
      </c>
      <c r="B21" s="4" t="inlineStr">
        <is>
          <t>Wachstum</t>
        </is>
      </c>
      <c r="C21" s="5" t="n">
        <v>700</v>
      </c>
      <c r="D21" s="5">
        <f>D20+C21</f>
        <v/>
      </c>
    </row>
    <row r="22">
      <c r="A22" s="13" t="n">
        <v>20</v>
      </c>
      <c r="B22" s="4" t="inlineStr">
        <is>
          <t>Wachstum</t>
        </is>
      </c>
      <c r="C22" s="5" t="n">
        <v>700</v>
      </c>
      <c r="D22" s="5">
        <f>D21+C22</f>
        <v/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F99"/>
  <sheetViews>
    <sheetView showGridLines="0" topLeftCell="A87" workbookViewId="0">
      <selection activeCell="B102" sqref="B102"/>
    </sheetView>
  </sheetViews>
  <sheetFormatPr baseColWidth="10" defaultColWidth="8.83203125" defaultRowHeight="15"/>
  <cols>
    <col width="2" customWidth="1" style="45" min="1" max="1"/>
    <col width="28" customWidth="1" style="45" min="2" max="2"/>
    <col width="34" customWidth="1" style="45" min="3" max="3"/>
    <col width="28" customWidth="1" style="45" min="4" max="4"/>
    <col width="14" customWidth="1" style="45" min="5" max="6"/>
  </cols>
  <sheetData>
    <row r="1" ht="40" customHeight="1" s="45">
      <c r="B1" s="59" t="inlineStr">
        <is>
          <t>Wie funktioniert dein Gehalt?</t>
        </is>
      </c>
    </row>
    <row r="2" ht="22" customHeight="1" s="45">
      <c r="B2" s="55" t="inlineStr">
        <is>
          <t>Schritt für Schritt: vom Mindestgehalt bis zur variablen Zulage.</t>
        </is>
      </c>
    </row>
    <row r="4" ht="28" customHeight="1" s="45">
      <c r="B4" s="53" t="inlineStr">
        <is>
          <t>1. Dein Gehalt besteht aus drei Teilen</t>
        </is>
      </c>
    </row>
    <row r="6" ht="22" customHeight="1" s="45">
      <c r="B6" s="58" t="inlineStr">
        <is>
          <t>A) Sockelgehalt</t>
        </is>
      </c>
    </row>
    <row r="7" ht="22" customHeight="1" s="45">
      <c r="B7" s="54" t="inlineStr">
        <is>
          <t>40.000 € pro Jahr bei Vollzeit (40 h/Woche). Bei Teilzeit anteilig (26 h = 26/40 × 40.000 = 26.000 €).</t>
        </is>
      </c>
    </row>
    <row r="9" ht="22" customHeight="1" s="45">
      <c r="B9" s="58" t="inlineStr">
        <is>
          <t>B) Bundle-Zulage (je nach Größe deines Teams)</t>
        </is>
      </c>
    </row>
    <row r="10" ht="22" customHeight="1" s="45">
      <c r="B10" s="54" t="inlineStr">
        <is>
          <t>Je mehr Therapeuten in deinem Bundle arbeiten, desto höher dein Gehalt.</t>
        </is>
      </c>
    </row>
    <row r="11" ht="35" customHeight="1" s="45">
      <c r="B11" s="54" t="inlineStr">
        <is>
          <t>Wir rechnen nicht nach Anzahl Köpfen, sondern nach Stunden: die gesamten Wochenstunden aller TH im Bundle geteilt durch 30 — weil 30 h der übliche Vacura-Schnitt für einen TH ist. So ergibt sich dein »TH-Äquivalent«.</t>
        </is>
      </c>
    </row>
    <row r="12" ht="22" customHeight="1" s="45">
      <c r="B12" s="55" t="inlineStr">
        <is>
          <t>Beispiel: 3 Therapeuten à 40 h + 2 à 30 h = 180 h ÷ 30 = 6 TH-Äquivalente.</t>
        </is>
      </c>
    </row>
    <row r="13" ht="22" customHeight="1" s="45">
      <c r="B13" s="54" t="inlineStr">
        <is>
          <t>Pro TH-Äquivalent bekommst du 250 € (für die ersten 4) bzw. 400 € (für 5–9) bzw. 700 € (ab 10) zusätzlich pro Jahr.</t>
        </is>
      </c>
    </row>
    <row r="15" ht="22" customHeight="1" s="45">
      <c r="B15" s="58" t="inlineStr">
        <is>
          <t>C) Variable Zulage</t>
        </is>
      </c>
    </row>
    <row r="16" ht="22" customHeight="1" s="45">
      <c r="B16" s="54" t="inlineStr">
        <is>
          <t>0 % bis 55 % Zulage auf dein Basis-Gehalt (= Sockel + Bundle-Zulage). Die 6 Stufen siehst du gleich in Abschnitt 2.</t>
        </is>
      </c>
    </row>
    <row r="18" ht="22" customHeight="1" s="45">
      <c r="B18" s="57" t="inlineStr">
        <is>
          <t>Beispiel-Rechnung für eine Vollzeit-PM (40 h/Wo) mit 8 TH-Äquivalenten im Bundle:</t>
        </is>
      </c>
    </row>
    <row r="19" ht="22" customHeight="1" s="45">
      <c r="B19" s="54" t="inlineStr">
        <is>
          <t>• Sockel: 40.000 €</t>
        </is>
      </c>
    </row>
    <row r="20" ht="22" customHeight="1" s="45">
      <c r="B20" s="54" t="inlineStr">
        <is>
          <t>• Bundle-Zulage (8 TH-Äqui → kumuliert 2.600 €): + 2.600 €   →   Basis = 42.600 €</t>
        </is>
      </c>
    </row>
    <row r="21" ht="22" customHeight="1" s="45">
      <c r="B21" s="58" t="inlineStr">
        <is>
          <t>• Bei Stufe 3 (+22 % variable Zulage): 42.600 € × 1,22 = 51.972 € pro Jahr = 4.331 € pro Monat</t>
        </is>
      </c>
    </row>
    <row r="23" ht="28" customHeight="1" s="45">
      <c r="B23" s="53" t="inlineStr">
        <is>
          <t>2. Die 6 Stufen im Überblick</t>
        </is>
      </c>
    </row>
    <row r="25" ht="22" customHeight="1" s="45">
      <c r="B25" s="55" t="inlineStr">
        <is>
          <t>Jede Stufe entspricht einer festen variablen Zulage auf dein Basis-Gehalt:</t>
        </is>
      </c>
    </row>
    <row r="27" ht="24" customHeight="1" s="45">
      <c r="B27" s="15" t="inlineStr">
        <is>
          <t>Stufe</t>
        </is>
      </c>
      <c r="C27" s="15" t="inlineStr">
        <is>
          <t>Name</t>
        </is>
      </c>
      <c r="D27" s="15" t="inlineStr">
        <is>
          <t>Zulage %</t>
        </is>
      </c>
      <c r="E27" s="15" t="inlineStr">
        <is>
          <t>Beispielgehalt Vollzeit, 8 TH</t>
        </is>
      </c>
    </row>
    <row r="28" ht="24" customHeight="1" s="45">
      <c r="B28" s="18" t="inlineStr">
        <is>
          <t>1</t>
        </is>
      </c>
      <c r="C28" s="18" t="inlineStr">
        <is>
          <t>Basis</t>
        </is>
      </c>
      <c r="D28" s="18" t="inlineStr">
        <is>
          <t>0 %</t>
        </is>
      </c>
      <c r="E28" s="19" t="inlineStr">
        <is>
          <t>42.600 €</t>
        </is>
      </c>
    </row>
    <row r="29" ht="24" customHeight="1" s="45">
      <c r="B29" s="20" t="inlineStr">
        <is>
          <t>2</t>
        </is>
      </c>
      <c r="C29" s="20" t="inlineStr">
        <is>
          <t>Gut</t>
        </is>
      </c>
      <c r="D29" s="20" t="inlineStr">
        <is>
          <t>11 %</t>
        </is>
      </c>
      <c r="E29" s="21" t="inlineStr">
        <is>
          <t>47.286 €</t>
        </is>
      </c>
    </row>
    <row r="30" ht="24" customHeight="1" s="45">
      <c r="B30" s="18" t="inlineStr">
        <is>
          <t>3</t>
        </is>
      </c>
      <c r="C30" s="18" t="inlineStr">
        <is>
          <t>Stark</t>
        </is>
      </c>
      <c r="D30" s="18" t="inlineStr">
        <is>
          <t>22 %</t>
        </is>
      </c>
      <c r="E30" s="19" t="inlineStr">
        <is>
          <t>51.972 €</t>
        </is>
      </c>
    </row>
    <row r="31" ht="24" customHeight="1" s="45">
      <c r="B31" s="20" t="inlineStr">
        <is>
          <t>4</t>
        </is>
      </c>
      <c r="C31" s="20" t="inlineStr">
        <is>
          <t>Sehr stark</t>
        </is>
      </c>
      <c r="D31" s="20" t="inlineStr">
        <is>
          <t>33 %</t>
        </is>
      </c>
      <c r="E31" s="21" t="inlineStr">
        <is>
          <t>56.658 €</t>
        </is>
      </c>
    </row>
    <row r="32" ht="24" customHeight="1" s="45">
      <c r="B32" s="18" t="inlineStr">
        <is>
          <t>5</t>
        </is>
      </c>
      <c r="C32" s="18" t="inlineStr">
        <is>
          <t>Exzellent</t>
        </is>
      </c>
      <c r="D32" s="18" t="inlineStr">
        <is>
          <t>44 %</t>
        </is>
      </c>
      <c r="E32" s="19" t="inlineStr">
        <is>
          <t>61.344 €</t>
        </is>
      </c>
    </row>
    <row r="33" ht="24" customHeight="1" s="45">
      <c r="B33" s="22" t="inlineStr">
        <is>
          <t>6</t>
        </is>
      </c>
      <c r="C33" s="22" t="inlineStr">
        <is>
          <t>Herausragend</t>
        </is>
      </c>
      <c r="D33" s="22" t="inlineStr">
        <is>
          <t>55 %</t>
        </is>
      </c>
      <c r="E33" s="23" t="inlineStr">
        <is>
          <t>66.030 €</t>
        </is>
      </c>
    </row>
    <row r="36" ht="28" customHeight="1" s="45">
      <c r="B36" s="53" t="inlineStr">
        <is>
          <t>3. Wie ergibt sich deine Stufe?</t>
        </is>
      </c>
    </row>
    <row r="38" ht="22" customHeight="1" s="45">
      <c r="B38" s="54" t="inlineStr">
        <is>
          <t>Deine Stufe steht, wenn zwei Sachen gleichzeitig stimmen:</t>
        </is>
      </c>
    </row>
    <row r="40" ht="22" customHeight="1" s="45">
      <c r="B40" s="58" t="inlineStr">
        <is>
          <t>Bedingung 1 — Wirtschaftlich:</t>
        </is>
      </c>
    </row>
    <row r="41" ht="22" customHeight="1" s="45">
      <c r="B41" s="54" t="inlineStr">
        <is>
          <t>Dein Bundle muss einen bestimmten Umsatz pro Therapie-Stunde erwirtschaften.</t>
        </is>
      </c>
    </row>
    <row r="42" ht="22" customHeight="1" s="45">
      <c r="B42" s="54" t="inlineStr">
        <is>
          <t>Zum Beispiel: Für Stufe 3 brauchst du ca. 73 €/Stunde, für Stufe 5 ca. 84 €/Stunde. Details dazu in Abschnitt 4.</t>
        </is>
      </c>
    </row>
    <row r="44" ht="22" customHeight="1" s="45">
      <c r="B44" s="58" t="inlineStr">
        <is>
          <t>Bedingung 2 — Teamzufriedenheit:</t>
        </is>
      </c>
    </row>
    <row r="45" ht="22" customHeight="1" s="45">
      <c r="B45" s="54" t="inlineStr">
        <is>
          <t>Dein Team muss in der anonymen Quartals-Umfrage einen bestimmten Zufriedenheits-Score erreichen (Skala 0–10).</t>
        </is>
      </c>
    </row>
    <row r="46" ht="22" customHeight="1" s="45">
      <c r="B46" s="54" t="inlineStr">
        <is>
          <t>Zum Beispiel: Stufe 3 braucht ≥ 7,0 — Stufe 5 braucht ≥ 8,5.</t>
        </is>
      </c>
    </row>
    <row r="48" ht="22" customHeight="1" s="45">
      <c r="B48" s="56" t="inlineStr">
        <is>
          <t>Beide Schwellen müssen erfüllt sein — nur wirtschaftlich stark ODER nur glückliches Team reicht nicht.</t>
        </is>
      </c>
    </row>
    <row r="50" ht="22" customHeight="1" s="45">
      <c r="B50" s="58" t="inlineStr">
        <is>
          <t>Die Schwellen pro Stufe:</t>
        </is>
      </c>
    </row>
    <row r="52" ht="22" customHeight="1" s="45">
      <c r="B52" s="15" t="inlineStr">
        <is>
          <t>Stufe</t>
        </is>
      </c>
      <c r="C52" s="15" t="inlineStr">
        <is>
          <t>€/60min Therapie (min.)</t>
        </is>
      </c>
      <c r="D52" s="15" t="inlineStr">
        <is>
          <t>Zufriedenheits-Score (min.)</t>
        </is>
      </c>
    </row>
    <row r="53" ht="22" customHeight="1" s="45">
      <c r="B53" s="20" t="inlineStr">
        <is>
          <t>1 Basis</t>
        </is>
      </c>
      <c r="C53" s="20" t="inlineStr">
        <is>
          <t>61,17 €</t>
        </is>
      </c>
      <c r="D53" s="20" t="inlineStr">
        <is>
          <t>5,0</t>
        </is>
      </c>
    </row>
    <row r="54" ht="22" customHeight="1" s="45">
      <c r="B54" s="18" t="inlineStr">
        <is>
          <t>2 Gut</t>
        </is>
      </c>
      <c r="C54" s="18" t="inlineStr">
        <is>
          <t>66,54 €</t>
        </is>
      </c>
      <c r="D54" s="18" t="inlineStr">
        <is>
          <t>6,0</t>
        </is>
      </c>
    </row>
    <row r="55" ht="22" customHeight="1" s="45">
      <c r="B55" s="20" t="inlineStr">
        <is>
          <t>3 Stark</t>
        </is>
      </c>
      <c r="C55" s="20" t="inlineStr">
        <is>
          <t>72,64 €</t>
        </is>
      </c>
      <c r="D55" s="20" t="inlineStr">
        <is>
          <t>7,0</t>
        </is>
      </c>
    </row>
    <row r="56" ht="22" customHeight="1" s="45">
      <c r="B56" s="18" t="inlineStr">
        <is>
          <t>4 Sehr stark</t>
        </is>
      </c>
      <c r="C56" s="18" t="inlineStr">
        <is>
          <t>77,28 €</t>
        </is>
      </c>
      <c r="D56" s="18" t="inlineStr">
        <is>
          <t>8,0</t>
        </is>
      </c>
    </row>
    <row r="57" ht="22" customHeight="1" s="45">
      <c r="B57" s="20" t="inlineStr">
        <is>
          <t>5 Exzellent</t>
        </is>
      </c>
      <c r="C57" s="20" t="inlineStr">
        <is>
          <t>84,11 €</t>
        </is>
      </c>
      <c r="D57" s="20" t="inlineStr">
        <is>
          <t>8,5</t>
        </is>
      </c>
    </row>
    <row r="58" ht="22" customHeight="1" s="45">
      <c r="B58" s="18" t="inlineStr">
        <is>
          <t>6 Herausragend</t>
        </is>
      </c>
      <c r="C58" s="18" t="inlineStr">
        <is>
          <t>89,48 €</t>
        </is>
      </c>
      <c r="D58" s="18" t="inlineStr">
        <is>
          <t>8,5</t>
        </is>
      </c>
    </row>
    <row r="61" ht="28" customHeight="1" s="45">
      <c r="B61" s="53" t="inlineStr">
        <is>
          <t>4. Was bedeutet »€/60min Therapie«?</t>
        </is>
      </c>
    </row>
    <row r="63" ht="22" customHeight="1" s="45">
      <c r="B63" s="54" t="inlineStr">
        <is>
          <t>Das ist der Wert, an dem deine Leistung gemessen wird.</t>
        </is>
      </c>
    </row>
    <row r="64" ht="22" customHeight="1" s="45">
      <c r="B64" s="54" t="inlineStr">
        <is>
          <t>Er sagt: Wie viel Umsatz macht dein Bundle durchschnittlich pro Stunde, in der ein TH tatsächlich arbeitet (also nicht im Urlaub oder in Fortbildung ist).</t>
        </is>
      </c>
    </row>
    <row r="66" ht="22" customHeight="1" s="45">
      <c r="B66" s="56" t="inlineStr">
        <is>
          <t>In einfachen Worten:</t>
        </is>
      </c>
    </row>
    <row r="67" ht="22" customHeight="1" s="45">
      <c r="B67" s="56" t="inlineStr">
        <is>
          <t>Gesamt-Umsatz deines Bundles im Quartal  ÷  alle verfügbaren Arbeitsstunden = €/60min</t>
        </is>
      </c>
    </row>
    <row r="69" ht="22" customHeight="1" s="45">
      <c r="B69" s="54" t="inlineStr">
        <is>
          <t>Verfügbare Arbeitsstunden = alle Vertragsstunden MINUS Urlaub, Fortbildung, Sonderurlaub.</t>
        </is>
      </c>
    </row>
    <row r="70" ht="22" customHeight="1" s="45">
      <c r="B70" s="54" t="inlineStr">
        <is>
          <t>Krankheit wird NICHT abgezogen — die ist schon als 10 %-Puffer im Modell einkalkuliert.</t>
        </is>
      </c>
    </row>
    <row r="72" ht="22" customHeight="1" s="45">
      <c r="B72" s="55" t="inlineStr">
        <is>
          <t>Zum Einordnen: Ein 60-min-GKV-Termin bringt ca. 95 €. Weil zwischen Terminen Zeit für Doku/Pausen bezahlt ist, liegt der Schnitt darunter.</t>
        </is>
      </c>
    </row>
    <row r="75" ht="28" customHeight="1" s="45">
      <c r="B75" s="53" t="inlineStr">
        <is>
          <t>5. Wie kommst du zur nächsten Stufe?</t>
        </is>
      </c>
    </row>
    <row r="77" ht="22" customHeight="1" s="45">
      <c r="B77" s="54" t="inlineStr">
        <is>
          <t>Drei Hebel, um den €/60min nach oben zu bekommen:</t>
        </is>
      </c>
    </row>
    <row r="78" ht="22" customHeight="1" s="45">
      <c r="B78" s="55" t="inlineStr">
        <is>
          <t>Hinweis: die Effekte sind Orientierungswerte (grobe Rechnung), keine exakt vorhergesagten Zahlen.</t>
        </is>
      </c>
    </row>
    <row r="80" ht="34" customHeight="1" s="45">
      <c r="B80" s="15" t="inlineStr">
        <is>
          <t>Hebel</t>
        </is>
      </c>
      <c r="C80" s="15" t="inlineStr">
        <is>
          <t>Was machst du konkret?</t>
        </is>
      </c>
      <c r="D80" s="15" t="inlineStr">
        <is>
          <t>Grober Effekt</t>
        </is>
      </c>
    </row>
    <row r="81" ht="34" customHeight="1" s="45">
      <c r="B81" s="24" t="inlineStr">
        <is>
          <t>Mehr Termine pro Woche</t>
        </is>
      </c>
      <c r="C81" s="24" t="inlineStr">
        <is>
          <t>Auslastung erhöhen, neue Patienten gewinnen, Slots besser nutzen</t>
        </is>
      </c>
      <c r="D81" s="24" t="inlineStr">
        <is>
          <t>+10 Termine/Wo → ca. +3 % Umsatz</t>
        </is>
      </c>
    </row>
    <row r="82" ht="34" customHeight="1" s="45">
      <c r="B82" s="25" t="inlineStr">
        <is>
          <t>Höherer PKV-Anteil</t>
        </is>
      </c>
      <c r="C82" s="25" t="inlineStr">
        <is>
          <t>Privatpatienten aktiv ansprechen (PKV zahlt 1,7× den GKV-Tarif)</t>
        </is>
      </c>
      <c r="D82" s="25" t="inlineStr">
        <is>
          <t>+1 %-Pkt PKV → ca. +0,7 % Umsatz</t>
        </is>
      </c>
    </row>
    <row r="83" ht="34" customHeight="1" s="45">
      <c r="B83" s="24" t="inlineStr">
        <is>
          <t>Krankenstand senken</t>
        </is>
      </c>
      <c r="C83" s="24" t="inlineStr">
        <is>
          <t>Team-Gesundheit, gute Urlaubsplanung, keine Ansteckungsketten</t>
        </is>
      </c>
      <c r="D83" s="24" t="inlineStr">
        <is>
          <t>−1 %-Pkt Krank → ca. +0,5 % Umsatz</t>
        </is>
      </c>
    </row>
    <row r="85" ht="22" customHeight="1" s="45">
      <c r="B85" s="55" t="inlineStr">
        <is>
          <t>Plus: Team-Zufriedenheits-Score hoch halten — ohne den bringt dir der beste Leistungsindex nichts.</t>
        </is>
      </c>
    </row>
    <row r="87" ht="28" customHeight="1" s="45">
      <c r="B87" s="53" t="inlineStr">
        <is>
          <t>6. Spezial-Regeln</t>
        </is>
      </c>
    </row>
    <row r="89" ht="22" customHeight="1" s="45">
      <c r="B89" s="58" t="inlineStr">
        <is>
          <t>Probezeit (erste 6 Monate):</t>
        </is>
      </c>
    </row>
    <row r="90" ht="22" customHeight="1" s="45">
      <c r="B90" s="54" t="inlineStr">
        <is>
          <t>Stufe ist fix auf 1 (Basis), Bundle-Zulage zählt nicht, Gehalt = Mindestgehalt. Nach 180 Tagen greift das Stufensystem.</t>
        </is>
      </c>
    </row>
    <row r="92" ht="22" customHeight="1" s="45">
      <c r="B92" s="58" t="inlineStr">
        <is>
          <t>Max ±1 Stufenwechsel pro Quartal:</t>
        </is>
      </c>
    </row>
    <row r="93" ht="22" customHeight="1" s="45">
      <c r="B93" s="54" t="inlineStr">
        <is>
          <t>Auch bei perfekter Performance kannst du pro Quartal nur eine Stufe steigen. Ein Abstieg ist auf −1 Stufe begrenzt.</t>
        </is>
      </c>
    </row>
    <row r="95" ht="22" customHeight="1" s="45">
      <c r="B95" s="58" t="inlineStr">
        <is>
          <t>Neuanfänger (neue TH im Bundle):</t>
        </is>
      </c>
    </row>
    <row r="96" ht="22" customHeight="1" s="45">
      <c r="B96" s="54" t="inlineStr">
        <is>
          <t>Frisch eingestellte TH zählen erst ab dem 29. Tag ihres Arbeitsverhältnisses — damit ihre Einarbeitung deinen €/60min-Wert nicht drückt.</t>
        </is>
      </c>
    </row>
    <row r="97" ht="51" customHeight="1" s="45"/>
    <row r="98" ht="22" customHeight="1" s="45">
      <c r="B98" s="58" t="n"/>
    </row>
    <row r="99" ht="22" customHeight="1" s="45">
      <c r="B99" s="54" t="n"/>
    </row>
  </sheetData>
  <mergeCells count="49">
    <mergeCell ref="B4:F4"/>
    <mergeCell ref="B75:F75"/>
    <mergeCell ref="B7:F7"/>
    <mergeCell ref="B16:F16"/>
    <mergeCell ref="B72:F72"/>
    <mergeCell ref="B90:F90"/>
    <mergeCell ref="B25:F25"/>
    <mergeCell ref="B66:F66"/>
    <mergeCell ref="B46:F46"/>
    <mergeCell ref="B93:F93"/>
    <mergeCell ref="B18:F18"/>
    <mergeCell ref="B96:F96"/>
    <mergeCell ref="B70:F70"/>
    <mergeCell ref="B21:F21"/>
    <mergeCell ref="B12:F12"/>
    <mergeCell ref="B77:F77"/>
    <mergeCell ref="B2:F2"/>
    <mergeCell ref="B48:F48"/>
    <mergeCell ref="B11:F11"/>
    <mergeCell ref="B42:F42"/>
    <mergeCell ref="B98:F98"/>
    <mergeCell ref="B67:F67"/>
    <mergeCell ref="B23:F23"/>
    <mergeCell ref="B61:F61"/>
    <mergeCell ref="B1:F1"/>
    <mergeCell ref="B13:F13"/>
    <mergeCell ref="B44:F44"/>
    <mergeCell ref="B69:F69"/>
    <mergeCell ref="B87:F87"/>
    <mergeCell ref="B38:F38"/>
    <mergeCell ref="B78:F78"/>
    <mergeCell ref="B10:F10"/>
    <mergeCell ref="B19:F19"/>
    <mergeCell ref="B99:F99"/>
    <mergeCell ref="B40:F40"/>
    <mergeCell ref="B9:F9"/>
    <mergeCell ref="B92:F92"/>
    <mergeCell ref="B6:F6"/>
    <mergeCell ref="B20:F20"/>
    <mergeCell ref="B15:F15"/>
    <mergeCell ref="B64:F64"/>
    <mergeCell ref="B89:F89"/>
    <mergeCell ref="B95:F95"/>
    <mergeCell ref="B45:F45"/>
    <mergeCell ref="B63:F63"/>
    <mergeCell ref="B85:F85"/>
    <mergeCell ref="B36:F36"/>
    <mergeCell ref="B50:F50"/>
    <mergeCell ref="B41:F4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2026-03-18T09:25:26Z</dcterms:created>
  <dcterms:modified xmlns:dcterms="http://purl.org/dc/terms/" xmlns:xsi="http://www.w3.org/2001/XMLSchema-instance" xsi:type="dcterms:W3CDTF">2026-09-09T19:12:35Z</dcterms:modified>
  <cp:lastModifiedBy>Valentin Irmen</cp:lastModifiedBy>
  <cp:revision>0</cp:revision>
</cp:coreProperties>
</file>