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700" yWindow="-19780" windowWidth="24200" windowHeight="15120" tabRatio="500" firstSheet="0" activeTab="6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#,##0&quot; €&quot;"/>
    <numFmt numFmtId="165" formatCode="0.0"/>
    <numFmt numFmtId="166" formatCode="0.000"/>
    <numFmt numFmtId="167" formatCode="#,##0.00\ &quot;€&quot;;[Red]\-#,##0.00\ &quot;€&quot;"/>
    <numFmt numFmtId="168" formatCode="#,##0.0&quot; h&quot;"/>
    <numFmt numFmtId="169" formatCode="yyyy\-mm\-dd\ h:mm:ss"/>
    <numFmt numFmtId="170" formatCode="#,##0\ &quot;€&quot;;[Red]\-#,##0\ &quot;€&quot;"/>
    <numFmt numFmtId="171" formatCode="#,##0&quot; h&quot;"/>
    <numFmt numFmtId="172" formatCode="_-* #,##0.00\ &quot;€&quot;_-;\-* #,##0.00\ &quot;€&quot;_-;_-* &quot;-&quot;??\ &quot;€&quot;_-;_-@_-"/>
    <numFmt numFmtId="173" formatCode="_-* #,##0.00_-;\-* #,##0.00_-;_-* &quot;-&quot;??_-;_-@_-"/>
    <numFmt numFmtId="174" formatCode="#,##0.00&quot; €&quot;"/>
    <numFmt numFmtId="175" formatCode="0&quot; h&quot;"/>
    <numFmt numFmtId="176" formatCode="#,##0.00&quot; €/h&quot;"/>
    <numFmt numFmtId="177" formatCode="\+#,##0&quot; €&quot;"/>
    <numFmt numFmtId="178" formatCode="\+#,##0.00&quot; €/h&quot;"/>
    <numFmt numFmtId="179" formatCode="#,##0.0"/>
    <numFmt numFmtId="180" formatCode="#,##0 €"/>
  </numFmts>
  <fonts count="53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color rgb="FF333333"/>
      <sz val="11"/>
    </font>
    <font>
      <name val="Arial"/>
      <family val="2"/>
      <color theme="1"/>
      <sz val="10"/>
    </font>
    <font>
      <name val="Arial"/>
      <family val="2"/>
      <color rgb="FF333333"/>
      <sz val="11"/>
    </font>
    <font>
      <name val="Arial"/>
      <family val="2"/>
      <b val="1"/>
      <color rgb="FF333333"/>
      <sz val="11"/>
    </font>
    <font>
      <name val="Calibri"/>
      <family val="2"/>
      <b val="1"/>
      <sz val="10"/>
    </font>
    <font>
      <name val="Calibri"/>
      <family val="2"/>
      <b val="1"/>
      <color rgb="FFFFFFFF"/>
      <sz val="13"/>
    </font>
    <font>
      <name val="Calibri"/>
      <family val="2"/>
      <i val="1"/>
      <color rgb="FF37474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263238"/>
      <sz val="18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B5E20"/>
      <sz val="11"/>
    </font>
    <font>
      <b val="1"/>
      <sz val="14"/>
    </font>
    <font>
      <b val="1"/>
      <sz val="12"/>
    </font>
    <font>
      <b val="1"/>
      <color rgb="00FFFFFF"/>
      <sz val="12"/>
    </font>
    <font>
      <b val="1"/>
      <color rgb="00FFFFFF"/>
      <sz val="11"/>
    </font>
    <font>
      <i val="1"/>
    </font>
    <font>
      <name val="SF Mono"/>
      <sz val="10"/>
    </font>
    <font>
      <b val="1"/>
      <color rgb="001A8A8B"/>
    </font>
    <font>
      <i val="1"/>
      <color rgb="00666666"/>
    </font>
    <font>
      <b val="1"/>
      <color rgb="00FFFFFF"/>
      <sz val="10"/>
    </font>
  </fonts>
  <fills count="34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001A8A8B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E8F4F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24" fillId="0" borderId="0"/>
    <xf numFmtId="43" fontId="24" fillId="0" borderId="0"/>
    <xf numFmtId="44" fontId="24" fillId="0" borderId="0"/>
  </cellStyleXfs>
  <cellXfs count="169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8" fillId="0" borderId="0" pivotButton="0" quotePrefix="0" xfId="0"/>
    <xf numFmtId="9" fontId="10" fillId="0" borderId="0" pivotButton="0" quotePrefix="0" xfId="0"/>
    <xf numFmtId="167" fontId="10" fillId="0" borderId="0" pivotButton="0" quotePrefix="0" xfId="0"/>
    <xf numFmtId="9" fontId="11" fillId="0" borderId="0" pivotButton="0" quotePrefix="0" xfId="0"/>
    <xf numFmtId="167" fontId="11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3" fontId="17" fillId="7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5" fontId="17" fillId="9" borderId="2" applyAlignment="1" pivotButton="0" quotePrefix="0" xfId="0">
      <alignment horizontal="center" vertical="center" wrapText="1"/>
    </xf>
    <xf numFmtId="165" fontId="17" fillId="9" borderId="4" applyAlignment="1" pivotButton="0" quotePrefix="0" xfId="0">
      <alignment horizontal="center" vertical="center" wrapText="1"/>
    </xf>
    <xf numFmtId="0" fontId="17" fillId="10" borderId="3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left" vertical="center" wrapText="1"/>
    </xf>
    <xf numFmtId="0" fontId="17" fillId="10" borderId="4" applyAlignment="1" pivotButton="0" quotePrefix="0" xfId="0">
      <alignment horizontal="left" vertical="center" wrapText="1"/>
    </xf>
    <xf numFmtId="169" fontId="17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165" fontId="17" fillId="7" borderId="3" applyAlignment="1" pivotButton="0" quotePrefix="0" xfId="0">
      <alignment horizontal="center" vertical="center" wrapText="1"/>
    </xf>
    <xf numFmtId="168" fontId="17" fillId="7" borderId="2" applyAlignment="1" pivotButton="0" quotePrefix="0" xfId="0">
      <alignment horizontal="center" vertical="center" wrapText="1"/>
    </xf>
    <xf numFmtId="165" fontId="17" fillId="7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center" vertical="center" wrapText="1"/>
    </xf>
    <xf numFmtId="49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164" fontId="12" fillId="12" borderId="4" applyAlignment="1" pivotButton="0" quotePrefix="0" xfId="0">
      <alignment horizontal="center" vertical="center" wrapText="1"/>
    </xf>
    <xf numFmtId="170" fontId="0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21" fillId="15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left" vertical="center" wrapText="1" indent="1"/>
    </xf>
    <xf numFmtId="0" fontId="23" fillId="16" borderId="5" applyAlignment="1" pivotButton="0" quotePrefix="0" xfId="0">
      <alignment horizontal="left" vertical="center" wrapText="1" indent="1"/>
    </xf>
    <xf numFmtId="171" fontId="23" fillId="16" borderId="5" applyAlignment="1" pivotButton="0" quotePrefix="0" xfId="0">
      <alignment horizontal="center" vertical="center" wrapText="1"/>
    </xf>
    <xf numFmtId="172" fontId="0" fillId="0" borderId="0" pivotButton="0" quotePrefix="0" xfId="2"/>
    <xf numFmtId="172" fontId="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0" fontId="27" fillId="18" borderId="6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0" fontId="25" fillId="0" borderId="0" pivotButton="0" quotePrefix="0" xfId="0"/>
    <xf numFmtId="174" fontId="0" fillId="0" borderId="0" pivotButton="0" quotePrefix="0" xfId="0"/>
    <xf numFmtId="0" fontId="28" fillId="23" borderId="6" applyAlignment="1" pivotButton="0" quotePrefix="0" xfId="0">
      <alignment horizontal="center" vertical="center" wrapText="1"/>
    </xf>
    <xf numFmtId="0" fontId="28" fillId="23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center" vertical="center" wrapText="1"/>
    </xf>
    <xf numFmtId="0" fontId="28" fillId="22" borderId="6" applyAlignment="1" pivotButton="0" quotePrefix="0" xfId="0">
      <alignment horizontal="right" vertical="center"/>
    </xf>
    <xf numFmtId="0" fontId="34" fillId="24" borderId="6" applyAlignment="1" pivotButton="0" quotePrefix="0" xfId="0">
      <alignment horizontal="center" vertical="center" wrapText="1"/>
    </xf>
    <xf numFmtId="0" fontId="34" fillId="24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left" vertical="center" wrapText="1" indent="1"/>
    </xf>
    <xf numFmtId="0" fontId="28" fillId="23" borderId="6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0" fontId="36" fillId="22" borderId="6" applyAlignment="1" pivotButton="0" quotePrefix="0" xfId="0">
      <alignment horizontal="center" vertical="center" wrapText="1"/>
    </xf>
    <xf numFmtId="175" fontId="36" fillId="22" borderId="6" applyAlignment="1" pivotButton="0" quotePrefix="0" xfId="0">
      <alignment horizontal="center" vertical="center" wrapText="1"/>
    </xf>
    <xf numFmtId="164" fontId="36" fillId="22" borderId="6" applyAlignment="1" pivotButton="0" quotePrefix="0" xfId="0">
      <alignment horizontal="center" vertical="center" wrapText="1"/>
    </xf>
    <xf numFmtId="164" fontId="37" fillId="24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65" fontId="36" fillId="22" borderId="6" applyAlignment="1" pivotButton="0" quotePrefix="0" xfId="0">
      <alignment horizontal="center" vertical="center" wrapText="1"/>
    </xf>
    <xf numFmtId="0" fontId="36" fillId="25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0" fontId="35" fillId="23" borderId="6" applyAlignment="1" pivotButton="0" quotePrefix="0" xfId="0">
      <alignment horizontal="left" vertical="center" wrapText="1" indent="1"/>
    </xf>
    <xf numFmtId="0" fontId="35" fillId="22" borderId="6" applyAlignment="1" pivotButton="0" quotePrefix="0" xfId="0">
      <alignment horizontal="left" vertical="center" wrapText="1" indent="1"/>
    </xf>
    <xf numFmtId="0" fontId="35" fillId="0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26" borderId="8" applyAlignment="1" pivotButton="0" quotePrefix="0" xfId="0">
      <alignment horizontal="center" vertical="center" wrapText="1"/>
    </xf>
    <xf numFmtId="0" fontId="38" fillId="18" borderId="7" applyAlignment="1" pivotButton="0" quotePrefix="0" xfId="0">
      <alignment horizontal="center" vertical="center" wrapText="1"/>
    </xf>
    <xf numFmtId="1" fontId="42" fillId="27" borderId="8" applyAlignment="1" pivotButton="0" quotePrefix="0" xfId="0">
      <alignment horizontal="center" vertical="center" wrapText="1"/>
    </xf>
    <xf numFmtId="165" fontId="42" fillId="27" borderId="8" applyAlignment="1" pivotButton="0" quotePrefix="0" xfId="0">
      <alignment horizontal="center" vertical="center" wrapText="1"/>
    </xf>
    <xf numFmtId="165" fontId="39" fillId="17" borderId="7" applyAlignment="1" pivotButton="0" quotePrefix="0" xfId="0">
      <alignment horizontal="center" vertical="center" wrapText="1"/>
    </xf>
    <xf numFmtId="0" fontId="40" fillId="25" borderId="7" applyAlignment="1" pivotButton="0" quotePrefix="0" xfId="0">
      <alignment horizontal="center" vertical="center" wrapText="1"/>
    </xf>
    <xf numFmtId="164" fontId="40" fillId="24" borderId="7" applyAlignment="1" pivotButton="0" quotePrefix="0" xfId="0">
      <alignment horizontal="center" vertical="center" wrapText="1"/>
    </xf>
    <xf numFmtId="164" fontId="39" fillId="22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 indent="1"/>
    </xf>
    <xf numFmtId="0" fontId="0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20" fillId="14" borderId="0" applyAlignment="1" pivotButton="0" quotePrefix="0" xfId="0">
      <alignment horizontal="left" vertical="center" indent="1"/>
    </xf>
    <xf numFmtId="0" fontId="31" fillId="21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32" fillId="19" borderId="0" applyAlignment="1" pivotButton="0" quotePrefix="0" xfId="0">
      <alignment horizontal="left" vertical="center" wrapText="1" indent="1"/>
    </xf>
    <xf numFmtId="0" fontId="32" fillId="22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1"/>
    </xf>
    <xf numFmtId="0" fontId="29" fillId="2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0" fontId="15" fillId="5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26" fillId="0" borderId="0" pivotButton="0" quotePrefix="0" xfId="0"/>
    <xf numFmtId="175" fontId="36" fillId="22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71" fontId="23" fillId="16" borderId="5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9" fontId="17" fillId="7" borderId="2" applyAlignment="1" pivotButton="0" quotePrefix="0" xfId="0">
      <alignment horizontal="center" vertical="center" wrapText="1"/>
    </xf>
    <xf numFmtId="170" fontId="0" fillId="0" borderId="0" pivotButton="0" quotePrefix="0" xfId="0"/>
    <xf numFmtId="172" fontId="0" fillId="0" borderId="0" pivotButton="0" quotePrefix="0" xfId="2"/>
    <xf numFmtId="172" fontId="0" fillId="0" borderId="0" pivotButton="0" quotePrefix="0" xfId="0"/>
    <xf numFmtId="168" fontId="17" fillId="7" borderId="2" applyAlignment="1" pivotButton="0" quotePrefix="0" xfId="0">
      <alignment horizontal="center" vertical="center" wrapText="1"/>
    </xf>
    <xf numFmtId="174" fontId="0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167" fontId="11" fillId="0" borderId="0" pivotButton="0" quotePrefix="0" xfId="0"/>
    <xf numFmtId="0" fontId="44" fillId="0" borderId="0" pivotButton="0" quotePrefix="0" xfId="0"/>
    <xf numFmtId="0" fontId="0" fillId="0" borderId="0" applyAlignment="1" pivotButton="0" quotePrefix="0" xfId="0">
      <alignment vertical="top" wrapText="1"/>
    </xf>
    <xf numFmtId="0" fontId="45" fillId="0" borderId="0" pivotButton="0" quotePrefix="0" xfId="0"/>
    <xf numFmtId="0" fontId="46" fillId="28" borderId="0" pivotButton="0" quotePrefix="0" xfId="0"/>
    <xf numFmtId="0" fontId="45" fillId="29" borderId="0" applyAlignment="1" pivotButton="0" quotePrefix="0" xfId="0">
      <alignment vertical="top" wrapText="1"/>
    </xf>
    <xf numFmtId="0" fontId="0" fillId="29" borderId="0" applyAlignment="1" pivotButton="0" quotePrefix="0" xfId="0">
      <alignment vertical="top" wrapText="1"/>
    </xf>
    <xf numFmtId="0" fontId="45" fillId="30" borderId="0" applyAlignment="1" pivotButton="0" quotePrefix="0" xfId="0">
      <alignment vertical="top" wrapText="1"/>
    </xf>
    <xf numFmtId="0" fontId="0" fillId="30" borderId="0" applyAlignment="1" pivotButton="0" quotePrefix="0" xfId="0">
      <alignment vertical="top" wrapText="1"/>
    </xf>
    <xf numFmtId="0" fontId="0" fillId="29" borderId="0" pivotButton="0" quotePrefix="0" xfId="0"/>
    <xf numFmtId="0" fontId="0" fillId="30" borderId="0" pivotButton="0" quotePrefix="0" xfId="0"/>
    <xf numFmtId="10" fontId="0" fillId="0" borderId="0" pivotButton="0" quotePrefix="0" xfId="0"/>
    <xf numFmtId="0" fontId="47" fillId="28" borderId="0" applyAlignment="1" pivotButton="0" quotePrefix="0" xfId="0">
      <alignment vertical="top" wrapText="1"/>
    </xf>
    <xf numFmtId="0" fontId="0" fillId="31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4" fontId="0" fillId="31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4" fontId="0" fillId="32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52" fillId="28" borderId="0" applyAlignment="1" pivotButton="0" quotePrefix="0" xfId="0">
      <alignment horizontal="center" vertical="center"/>
    </xf>
    <xf numFmtId="180" fontId="0" fillId="29" borderId="0" pivotButton="0" quotePrefix="0" xfId="0"/>
    <xf numFmtId="0" fontId="0" fillId="33" borderId="0" pivotButton="0" quotePrefix="0" xfId="0"/>
    <xf numFmtId="180" fontId="0" fillId="33" borderId="0" pivotButton="0" quotePrefix="0" xfId="0"/>
  </cellXfs>
  <cellStyles count="3">
    <cellStyle name="Standard" xfId="0" builtinId="0"/>
    <cellStyle name="Komma" xfId="1" builtinId="3"/>
    <cellStyle name="Währung" xfId="2" builtinId="4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style="97" min="1" max="1"/>
    <col width="40" customWidth="1" style="97" min="2" max="2"/>
    <col width="35" customWidth="1" style="97" min="3" max="3"/>
    <col width="22" customWidth="1" style="97" min="4" max="4"/>
    <col width="60" customWidth="1" style="97" min="5" max="5"/>
  </cols>
  <sheetData>
    <row r="1">
      <c r="A1" s="136" t="inlineStr">
        <is>
          <t>📋 Anleitung Quartalswechsel — Was tun, wenn ein Quartal endet?</t>
        </is>
      </c>
    </row>
    <row r="3" ht="30" customHeight="1" s="97">
      <c r="A3" s="137" t="inlineStr">
        <is>
          <t>Diese Anleitung beschreibt die manuellen Schritte, die nach jedem Quartals-Ende notwendig sind, damit die PM-Bewertung für das Folge-Quartal greift.</t>
        </is>
      </c>
    </row>
    <row r="5">
      <c r="A5" s="138" t="inlineStr">
        <is>
          <t>Zeitpunkt: spätestens 5. Tag des Folge-Monats (also 5.7., 5.10., 5.1., 5.4.)</t>
        </is>
      </c>
    </row>
    <row r="7">
      <c r="A7" s="139" t="inlineStr">
        <is>
          <t>Schritt</t>
        </is>
      </c>
      <c r="B7" s="139" t="inlineStr">
        <is>
          <t>Was</t>
        </is>
      </c>
      <c r="C7" s="139" t="inlineStr">
        <is>
          <t>Wo eintragen</t>
        </is>
      </c>
      <c r="D7" s="139" t="inlineStr">
        <is>
          <t>Wer</t>
        </is>
      </c>
      <c r="E7" s="139" t="inlineStr">
        <is>
          <t>Warum / Hinweis</t>
        </is>
      </c>
    </row>
    <row r="8" ht="75" customHeight="1" s="97">
      <c r="A8" s="140" t="inlineStr">
        <is>
          <t>1</t>
        </is>
      </c>
      <c r="B8" s="141" t="inlineStr">
        <is>
          <t>Zufriedenheits-Scores aus Q-Umfrage eintragen</t>
        </is>
      </c>
      <c r="C8" s="141" t="inlineStr">
        <is>
          <t>Tab "Daten" — Spalten 11 (Rücken), 12 (Komm), 13 (eNPS)</t>
        </is>
      </c>
      <c r="D8" s="141" t="inlineStr">
        <is>
          <t>Du (Geschäftsführung)</t>
        </is>
      </c>
      <c r="E8" s="141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97">
      <c r="A9" s="140" t="inlineStr">
        <is>
          <t>2</t>
        </is>
      </c>
      <c r="B9" s="141" t="inlineStr">
        <is>
          <t>MediFox-IST-Werte als Sanity-Check eintragen</t>
        </is>
      </c>
      <c r="C9" s="141" t="inlineStr">
        <is>
          <t>Tab "Sanity (MediFox)" — pro Bundle eine Zeile</t>
        </is>
      </c>
      <c r="D9" s="141" t="inlineStr">
        <is>
          <t>Du (Geschäftsführung)</t>
        </is>
      </c>
      <c r="E9" s="141" t="inlineStr">
        <is>
          <t>MediFox-Export pro Standort/Monat, Summen über Q. Wird automatisch mit NocoDB-IST verglichen — Diff &gt; 2 % bedeutet Untersuchung nötig.</t>
        </is>
      </c>
    </row>
    <row r="10" ht="75" customHeight="1" s="97">
      <c r="A10" s="142" t="inlineStr">
        <is>
          <t>3</t>
        </is>
      </c>
      <c r="B10" s="143" t="inlineStr">
        <is>
          <t>Q-End-Berechnung anstoßen</t>
        </is>
      </c>
      <c r="C10" s="143" t="inlineStr">
        <is>
          <t>Routine läuft automatisch am 1. des Folge-Monats</t>
        </is>
      </c>
      <c r="D10" s="143" t="inlineStr">
        <is>
          <t>Code (Routine-Agent)</t>
        </is>
      </c>
      <c r="E10" s="143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97">
      <c r="A11" s="140" t="inlineStr">
        <is>
          <t>4</t>
        </is>
      </c>
      <c r="B11" s="141" t="inlineStr">
        <is>
          <t>Stufe Vorquartal manuell updaten</t>
        </is>
      </c>
      <c r="C11" s="141" t="inlineStr">
        <is>
          <t>Tab "Daten" — Spalte 5 ("Stufe Vorquartal") pro PM</t>
        </is>
      </c>
      <c r="D11" s="141" t="inlineStr">
        <is>
          <t>Du (Geschäftsführung) ODER Routine</t>
        </is>
      </c>
      <c r="E11" s="141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97">
      <c r="A12" s="142" t="inlineStr">
        <is>
          <t>5</t>
        </is>
      </c>
      <c r="B12" s="143" t="inlineStr">
        <is>
          <t>Dashboards regenerieren + deployen</t>
        </is>
      </c>
      <c r="C12" s="143" t="inlineStr">
        <is>
          <t>GitHub Action "Regenerate PM Dashboards" manuell triggern</t>
        </is>
      </c>
      <c r="D12" s="143" t="inlineStr">
        <is>
          <t>Code (Routine-Agent)</t>
        </is>
      </c>
      <c r="E12" s="143" t="inlineStr">
        <is>
          <t>Nach Excel-Update werden die HTML-Dashboards mit Q-Final-Werten neu gebaut und auf GitHub Pages deployed. PMs sehen dann ihre offizielle Q-Bewertung.</t>
        </is>
      </c>
    </row>
    <row r="13" ht="75" customHeight="1" s="97">
      <c r="A13" s="140" t="inlineStr">
        <is>
          <t>6</t>
        </is>
      </c>
      <c r="B13" s="141" t="inlineStr">
        <is>
          <t>Plausibilitäts-Check + Freigabe</t>
        </is>
      </c>
      <c r="C13" s="141" t="inlineStr">
        <is>
          <t>Audit-Tab durchgehen, Diff zu MediFox prüfen</t>
        </is>
      </c>
      <c r="D13" s="141" t="inlineStr">
        <is>
          <t>Du (Geschäftsführung)</t>
        </is>
      </c>
      <c r="E13" s="141" t="inlineStr">
        <is>
          <t>Wenn Audit-Werte plausibel und MediFox-Diff &lt; 2 %: Q-Bewertung gilt als final, Gehälter werden für das Folge-Quartal angepasst. Sonst: Ursache klären, Werte ggf. nachbessern.</t>
        </is>
      </c>
    </row>
    <row r="15">
      <c r="A15" s="138" t="inlineStr">
        <is>
          <t>Legende:</t>
        </is>
      </c>
    </row>
    <row r="16">
      <c r="A16" s="144" t="inlineStr">
        <is>
          <t>Gelb = manuelle Aktion durch Geschäftsführung</t>
        </is>
      </c>
    </row>
    <row r="17">
      <c r="A17" s="145" t="inlineStr">
        <is>
          <t>Grün = automatisch durch Code/Routine</t>
        </is>
      </c>
    </row>
    <row r="20">
      <c r="A20" s="138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0" customWidth="1" style="97" min="2" max="2"/>
    <col width="12" customWidth="1" style="97" min="3" max="3"/>
    <col width="12" customWidth="1" style="97" min="4" max="4"/>
    <col width="14" customWidth="1" style="97" min="5" max="5"/>
    <col width="35" customWidth="1" style="97" min="6" max="6"/>
    <col width="18" customWidth="1" style="97" min="7" max="7"/>
    <col width="12" customWidth="1" style="97" min="8" max="8"/>
    <col width="35" customWidth="1" style="97" min="9" max="9"/>
    <col width="8" customWidth="1" style="97" min="10" max="10"/>
  </cols>
  <sheetData>
    <row r="1">
      <c r="A1" s="136" t="inlineStr">
        <is>
          <t>👥 PM-Stammdaten (Quelle der Wahrheit für PM-Liste)</t>
        </is>
      </c>
    </row>
    <row r="3" ht="60" customHeight="1" s="97">
      <c r="A3" s="13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97">
      <c r="A5" s="147" t="inlineStr">
        <is>
          <t>Name</t>
        </is>
      </c>
      <c r="B5" s="147" t="inlineStr">
        <is>
          <t>Wochenstd</t>
        </is>
      </c>
      <c r="C5" s="147" t="inlineStr">
        <is>
          <t>PM-Std Bundle</t>
        </is>
      </c>
      <c r="D5" s="147" t="inlineStr">
        <is>
          <t>Mindestgehalt</t>
        </is>
      </c>
      <c r="E5" s="147" t="inlineStr">
        <is>
          <t>Startdatum</t>
        </is>
      </c>
      <c r="F5" s="147" t="inlineStr">
        <is>
          <t>Bundle-Standorte</t>
        </is>
      </c>
      <c r="G5" s="147" t="inlineStr">
        <is>
          <t>Bundle-PMs</t>
        </is>
      </c>
      <c r="H5" s="147" t="inlineStr">
        <is>
          <t>Farbe (Hex)</t>
        </is>
      </c>
      <c r="I5" s="147" t="inlineStr">
        <is>
          <t>URL-Token (32-hex)</t>
        </is>
      </c>
      <c r="J5" s="147" t="inlineStr">
        <is>
          <t>Aktiv</t>
        </is>
      </c>
    </row>
    <row r="6">
      <c r="A6" s="137" t="inlineStr">
        <is>
          <t>Laura</t>
        </is>
      </c>
      <c r="B6" s="137" t="n">
        <v>40</v>
      </c>
      <c r="C6" s="137" t="n">
        <v>65</v>
      </c>
      <c r="D6" s="137" t="n">
        <v>45000</v>
      </c>
      <c r="E6" s="137" t="n"/>
      <c r="F6" s="137" t="inlineStr">
        <is>
          <t>Spandau, Mitte</t>
        </is>
      </c>
      <c r="G6" s="137" t="inlineStr">
        <is>
          <t>Laura, Max</t>
        </is>
      </c>
      <c r="H6" s="137" t="inlineStr">
        <is>
          <t>#4CAF50</t>
        </is>
      </c>
      <c r="I6" s="137" t="inlineStr">
        <is>
          <t>8278b207ba9e80605ae5f1604d696759</t>
        </is>
      </c>
      <c r="J6" s="137" t="b">
        <v>1</v>
      </c>
    </row>
    <row r="7">
      <c r="A7" s="137" t="inlineStr">
        <is>
          <t>Marleen</t>
        </is>
      </c>
      <c r="B7" s="137" t="n">
        <v>40</v>
      </c>
      <c r="C7" s="137" t="n">
        <v>80</v>
      </c>
      <c r="D7" s="137" t="n">
        <v>45000</v>
      </c>
      <c r="E7" s="137" t="n"/>
      <c r="F7" s="137" t="inlineStr">
        <is>
          <t>Friedrichshain, Charlottenburg, Prenzlauer Berg</t>
        </is>
      </c>
      <c r="G7" s="137" t="inlineStr">
        <is>
          <t>Marleen, Luise</t>
        </is>
      </c>
      <c r="H7" s="137" t="inlineStr">
        <is>
          <t>#2196F3</t>
        </is>
      </c>
      <c r="I7" s="137" t="inlineStr">
        <is>
          <t>0093979f8cf4df0f67ec20b6e35e6beb</t>
        </is>
      </c>
      <c r="J7" s="137" t="b">
        <v>1</v>
      </c>
    </row>
    <row r="8">
      <c r="A8" s="137" t="inlineStr">
        <is>
          <t>Luise</t>
        </is>
      </c>
      <c r="B8" s="137" t="n">
        <v>40</v>
      </c>
      <c r="C8" s="137" t="n">
        <v>80</v>
      </c>
      <c r="D8" s="137" t="n">
        <v>40000</v>
      </c>
      <c r="E8" s="137" t="inlineStr">
        <is>
          <t>2026-02-01</t>
        </is>
      </c>
      <c r="F8" s="137" t="inlineStr">
        <is>
          <t>Friedrichshain, Charlottenburg, Prenzlauer Berg</t>
        </is>
      </c>
      <c r="G8" s="137" t="inlineStr">
        <is>
          <t>Marleen, Luise</t>
        </is>
      </c>
      <c r="H8" s="137" t="inlineStr">
        <is>
          <t>#9C27B0</t>
        </is>
      </c>
      <c r="I8" s="137" t="inlineStr">
        <is>
          <t>52981192518b734a346928ed713bc015</t>
        </is>
      </c>
      <c r="J8" s="137" t="b">
        <v>1</v>
      </c>
    </row>
    <row r="9">
      <c r="A9" s="137" t="inlineStr">
        <is>
          <t>Max</t>
        </is>
      </c>
      <c r="B9" s="137" t="n">
        <v>26</v>
      </c>
      <c r="C9" s="137" t="n">
        <v>65</v>
      </c>
      <c r="D9" s="137" t="n">
        <v>40000</v>
      </c>
      <c r="E9" s="137" t="inlineStr">
        <is>
          <t>2026-02-01</t>
        </is>
      </c>
      <c r="F9" s="137" t="inlineStr">
        <is>
          <t>Spandau, Mitte</t>
        </is>
      </c>
      <c r="G9" s="137" t="inlineStr">
        <is>
          <t>Laura, Max</t>
        </is>
      </c>
      <c r="H9" s="137" t="inlineStr">
        <is>
          <t>#FF9800</t>
        </is>
      </c>
      <c r="I9" s="137" t="inlineStr">
        <is>
          <t>5051837ce5b8f243f109306f60136f17</t>
        </is>
      </c>
      <c r="J9" s="137" t="b">
        <v>1</v>
      </c>
    </row>
    <row r="11">
      <c r="A11" s="162" t="inlineStr">
        <is>
          <t>Auto-Befüllung beim Dashboard-Lauf:</t>
        </is>
      </c>
    </row>
    <row r="12">
      <c r="A12" s="163" t="inlineStr">
        <is>
          <t>• Spalte 8 leer → Default-Farbe #0D595A (Vacura-Teal)</t>
        </is>
      </c>
    </row>
    <row r="13">
      <c r="A13" s="163" t="inlineStr">
        <is>
          <t>• Spalte 9 leer → Token wird per secrets.token_hex(16) erzeugt + hier eingetragen</t>
        </is>
      </c>
    </row>
    <row r="14">
      <c r="A14" s="163" t="inlineStr">
        <is>
          <t>• Spalte 10 leer → Aktiv=Ja angenommen. Auf FALSE setzen um PM zu deaktivieren (z.B. Austritt)</t>
        </is>
      </c>
    </row>
    <row r="15">
      <c r="A15" s="163" t="inlineStr">
        <is>
          <t>• Plus: Daten-Tab Stammdaten-Spalten 1-6 werden parallel gespiegelt, falls dort noch keine Zeile</t>
        </is>
      </c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2" customWidth="1" style="97" min="2" max="2"/>
    <col width="10" customWidth="1" style="97" min="3" max="3"/>
    <col width="10" customWidth="1" style="97" min="4" max="4"/>
    <col width="10" customWidth="1" style="97" min="5" max="5"/>
    <col width="14" customWidth="1" style="97" min="6" max="6"/>
    <col width="11" customWidth="1" style="97" min="7" max="7"/>
    <col width="10" customWidth="1" style="97" min="8" max="8"/>
    <col width="10" customWidth="1" style="97" min="9" max="9"/>
    <col width="11" customWidth="1" style="97" min="10" max="10"/>
    <col width="14" customWidth="1" style="97" min="11" max="11"/>
    <col width="11" customWidth="1" style="97" min="12" max="12"/>
    <col width="9" customWidth="1" style="97" min="13" max="13"/>
    <col width="11" customWidth="1" style="97" min="14" max="14"/>
    <col width="11" customWidth="1" style="97" min="15" max="15"/>
    <col width="11" customWidth="1" style="97" min="16" max="16"/>
    <col width="16" customWidth="1" style="97" min="17" max="17"/>
    <col width="24" customWidth="1" style="97" min="18" max="18"/>
    <col width="18" customWidth="1" style="97" min="19" max="19"/>
  </cols>
  <sheetData>
    <row r="1">
      <c r="A1" s="136" t="inlineStr">
        <is>
          <t>📊 Quartals-Bewertungen (Input + Output in einem Sheet)</t>
        </is>
      </c>
    </row>
    <row r="3" ht="45" customHeight="1" s="97">
      <c r="A3" s="16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163" t="inlineStr">
        <is>
          <t>🟡 GELB = manuell von dir · 🟦 HELLBLAU = Code befüllt automatisch</t>
        </is>
      </c>
    </row>
    <row r="7" ht="28" customHeight="1" s="97">
      <c r="A7" s="165" t="inlineStr">
        <is>
          <t>Quartal</t>
        </is>
      </c>
      <c r="B7" s="165" t="inlineStr">
        <is>
          <t>PM</t>
        </is>
      </c>
      <c r="C7" s="165" t="inlineStr">
        <is>
          <t>Rücken</t>
        </is>
      </c>
      <c r="D7" s="165" t="inlineStr">
        <is>
          <t>Komm</t>
        </is>
      </c>
      <c r="E7" s="165" t="inlineStr">
        <is>
          <t>eNPS</t>
        </is>
      </c>
      <c r="F7" s="165" t="inlineStr">
        <is>
          <t>MediFox-IST €</t>
        </is>
      </c>
      <c r="G7" s="165" t="inlineStr">
        <is>
          <t>Zufr-Score</t>
        </is>
      </c>
      <c r="H7" s="165" t="inlineStr">
        <is>
          <t>Vstd ber</t>
        </is>
      </c>
      <c r="I7" s="165" t="inlineStr">
        <is>
          <t>Abw ber</t>
        </is>
      </c>
      <c r="J7" s="165" t="inlineStr">
        <is>
          <t>Feiertage h</t>
        </is>
      </c>
      <c r="K7" s="165" t="inlineStr">
        <is>
          <t>IST €</t>
        </is>
      </c>
      <c r="L7" s="165" t="inlineStr">
        <is>
          <t>verfueg h</t>
        </is>
      </c>
      <c r="M7" s="165" t="inlineStr">
        <is>
          <t>€/h</t>
        </is>
      </c>
      <c r="N7" s="165" t="inlineStr">
        <is>
          <t>Rechn-Stufe</t>
        </is>
      </c>
      <c r="O7" s="165" t="inlineStr">
        <is>
          <t>Tats-Stufe</t>
        </is>
      </c>
      <c r="P7" s="165" t="inlineStr">
        <is>
          <t>Probezeit</t>
        </is>
      </c>
      <c r="Q7" s="165" t="inlineStr">
        <is>
          <t>Diff € (NocoDB−MediFox)</t>
        </is>
      </c>
      <c r="R7" s="165" t="inlineStr">
        <is>
          <t>Status</t>
        </is>
      </c>
      <c r="S7" s="165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144" t="n">
        <v>8.5</v>
      </c>
      <c r="D8" s="144" t="n">
        <v>8</v>
      </c>
      <c r="E8" s="144" t="n">
        <v>8.699999999999999</v>
      </c>
      <c r="F8" s="166" t="n">
        <v>299437</v>
      </c>
      <c r="G8" s="167" t="n">
        <v>8.52</v>
      </c>
      <c r="H8" s="167" t="n">
        <v>4686.3</v>
      </c>
      <c r="I8" s="167" t="n">
        <v>554.8</v>
      </c>
      <c r="J8" s="167" t="n"/>
      <c r="K8" s="168" t="n">
        <v>291941</v>
      </c>
      <c r="L8" s="167" t="n">
        <v>4131.5</v>
      </c>
      <c r="M8" s="167" t="n">
        <v>70.66</v>
      </c>
      <c r="N8" s="167" t="n">
        <v>2</v>
      </c>
      <c r="O8" s="167" t="n">
        <v>2</v>
      </c>
      <c r="P8" s="167" t="inlineStr">
        <is>
          <t>Nein</t>
        </is>
      </c>
      <c r="Q8" s="168" t="n">
        <v>-7496</v>
      </c>
      <c r="R8" s="167" t="inlineStr">
        <is>
          <t>🔒 Q1 historisch eingefroren</t>
        </is>
      </c>
      <c r="S8" s="167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144" t="n">
        <v>8.5</v>
      </c>
      <c r="D9" s="144" t="n">
        <v>8.699999999999999</v>
      </c>
      <c r="E9" s="144" t="n">
        <v>8</v>
      </c>
      <c r="F9" s="166" t="n">
        <v>351752</v>
      </c>
      <c r="G9" s="167" t="n">
        <v>8.24</v>
      </c>
      <c r="H9" s="167" t="n">
        <v>5343.5</v>
      </c>
      <c r="I9" s="167" t="n">
        <v>293.5</v>
      </c>
      <c r="J9" s="167" t="n"/>
      <c r="K9" s="168" t="n">
        <v>337924</v>
      </c>
      <c r="L9" s="167" t="n">
        <v>5050</v>
      </c>
      <c r="M9" s="167" t="n">
        <v>66.92</v>
      </c>
      <c r="N9" s="167" t="n">
        <v>2</v>
      </c>
      <c r="O9" s="167" t="n">
        <v>2</v>
      </c>
      <c r="P9" s="167" t="inlineStr">
        <is>
          <t>Nein</t>
        </is>
      </c>
      <c r="Q9" s="168" t="n">
        <v>-13828</v>
      </c>
      <c r="R9" s="167" t="inlineStr">
        <is>
          <t>🔒 Q1 historisch eingefroren</t>
        </is>
      </c>
      <c r="S9" s="167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144" t="n">
        <v>8.5</v>
      </c>
      <c r="D10" s="144" t="n">
        <v>8.699999999999999</v>
      </c>
      <c r="E10" s="144" t="n"/>
      <c r="F10" s="166" t="n">
        <v>351752</v>
      </c>
      <c r="G10" s="167" t="n"/>
      <c r="H10" s="167" t="n"/>
      <c r="I10" s="167" t="n"/>
      <c r="J10" s="167" t="n"/>
      <c r="K10" s="168" t="n"/>
      <c r="L10" s="167" t="n"/>
      <c r="M10" s="167" t="n"/>
      <c r="N10" s="167" t="n">
        <v>1</v>
      </c>
      <c r="O10" s="167" t="n">
        <v>1</v>
      </c>
      <c r="P10" s="167" t="inlineStr">
        <is>
          <t>Ja</t>
        </is>
      </c>
      <c r="Q10" s="168" t="n"/>
      <c r="R10" s="167" t="inlineStr">
        <is>
          <t>🔒 Q1 historisch eingefroren</t>
        </is>
      </c>
      <c r="S10" s="167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144" t="n">
        <v>8.5</v>
      </c>
      <c r="D11" s="144" t="n">
        <v>7.8</v>
      </c>
      <c r="E11" s="144" t="n">
        <v>8.800000000000001</v>
      </c>
      <c r="F11" s="166" t="n">
        <v>299437</v>
      </c>
      <c r="G11" s="167" t="n">
        <v>8.539999999999999</v>
      </c>
      <c r="H11" s="167" t="n"/>
      <c r="I11" s="167" t="n"/>
      <c r="J11" s="167" t="n"/>
      <c r="K11" s="168" t="n"/>
      <c r="L11" s="167" t="n"/>
      <c r="M11" s="167" t="n"/>
      <c r="N11" s="167" t="n">
        <v>1</v>
      </c>
      <c r="O11" s="167" t="n">
        <v>1</v>
      </c>
      <c r="P11" s="167" t="inlineStr">
        <is>
          <t>Ja</t>
        </is>
      </c>
      <c r="Q11" s="168" t="n"/>
      <c r="R11" s="167" t="inlineStr">
        <is>
          <t>🔒 Q1 historisch eingefroren</t>
        </is>
      </c>
      <c r="S11" s="167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144" t="n"/>
      <c r="D12" s="144" t="n"/>
      <c r="E12" s="144" t="n"/>
      <c r="F12" s="144" t="n"/>
      <c r="R12" s="144" t="inlineStr">
        <is>
          <t>⏳ wartet auf Q-End-Lauf am 8.7.2026</t>
        </is>
      </c>
    </row>
    <row r="13">
      <c r="A13" t="inlineStr">
        <is>
          <t>Q2 2026</t>
        </is>
      </c>
      <c r="B13" t="inlineStr">
        <is>
          <t>Marleen</t>
        </is>
      </c>
      <c r="C13" s="144" t="n"/>
      <c r="D13" s="144" t="n"/>
      <c r="E13" s="144" t="n"/>
      <c r="F13" s="144" t="n"/>
      <c r="R13" s="144" t="inlineStr">
        <is>
          <t>⏳ wartet auf Q-End-Lauf am 8.7.2026</t>
        </is>
      </c>
    </row>
    <row r="14">
      <c r="A14" t="inlineStr">
        <is>
          <t>Q2 2026</t>
        </is>
      </c>
      <c r="B14" t="inlineStr">
        <is>
          <t>Luise</t>
        </is>
      </c>
      <c r="C14" s="144" t="n"/>
      <c r="D14" s="144" t="n"/>
      <c r="E14" s="144" t="n"/>
      <c r="F14" s="144" t="n"/>
      <c r="R14" s="144" t="inlineStr">
        <is>
          <t>⏳ wartet auf Q-End-Lauf am 8.7.2026</t>
        </is>
      </c>
    </row>
    <row r="15">
      <c r="A15" t="inlineStr">
        <is>
          <t>Q2 2026</t>
        </is>
      </c>
      <c r="B15" t="inlineStr">
        <is>
          <t>Max</t>
        </is>
      </c>
      <c r="C15" s="144" t="n"/>
      <c r="D15" s="144" t="n"/>
      <c r="E15" s="144" t="n"/>
      <c r="F15" s="144" t="n"/>
      <c r="R15" s="144" t="inlineStr">
        <is>
          <t>⏳ wartet auf Q-End-Lauf am 8.7.2026</t>
        </is>
      </c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97" min="1" max="1"/>
    <col width="38" customWidth="1" style="97" min="2" max="2"/>
    <col width="2" customWidth="1" style="97" min="3" max="3"/>
    <col width="16" customWidth="1" style="97" min="4" max="4"/>
    <col width="2" customWidth="1" style="97" min="5" max="5"/>
    <col width="24" customWidth="1" style="97" min="6" max="6"/>
  </cols>
  <sheetData>
    <row r="2" ht="20" customHeight="1" s="97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4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97" min="1" max="1"/>
    <col width="16" customWidth="1" style="97" min="2" max="2"/>
    <col width="14" customWidth="1" style="97" min="4" max="4"/>
    <col width="12" customWidth="1" style="97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59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31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31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31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31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31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31" t="n">
        <v>89.48</v>
      </c>
    </row>
    <row r="10">
      <c r="A10" s="113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97"/>
    <row r="97" ht="51" customHeight="1" s="97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97" min="1" max="1"/>
    <col width="14" customWidth="1" style="97" min="2" max="3"/>
    <col width="16" customWidth="1" style="97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97" min="1" max="1"/>
    <col width="28" customWidth="1" style="97" min="2" max="2"/>
    <col width="34" customWidth="1" style="97" min="3" max="3"/>
    <col width="28" customWidth="1" style="97" min="4" max="4"/>
    <col width="14" customWidth="1" style="97" min="5" max="6"/>
  </cols>
  <sheetData>
    <row r="1" ht="40" customHeight="1" s="97">
      <c r="B1" s="106" t="inlineStr">
        <is>
          <t>Wie funktioniert dein Gehalt?</t>
        </is>
      </c>
    </row>
    <row r="2" ht="22" customHeight="1" s="97">
      <c r="B2" s="102" t="inlineStr">
        <is>
          <t>Schritt für Schritt: vom Mindestgehalt bis zur variablen Zulage.</t>
        </is>
      </c>
    </row>
    <row r="4" ht="28" customHeight="1" s="97">
      <c r="B4" s="100" t="inlineStr">
        <is>
          <t>1. Dein Gehalt besteht aus drei Teilen</t>
        </is>
      </c>
    </row>
    <row r="6" ht="22" customHeight="1" s="97">
      <c r="B6" s="105" t="inlineStr">
        <is>
          <t>A) Sockelgehalt</t>
        </is>
      </c>
    </row>
    <row r="7" ht="22" customHeight="1" s="97">
      <c r="B7" s="101" t="inlineStr">
        <is>
          <t>40.000 € pro Jahr bei Vollzeit (40 h/Woche). Bei Teilzeit anteilig (26 h = 26/40 × 40.000 = 26.000 €).</t>
        </is>
      </c>
    </row>
    <row r="9" ht="22" customHeight="1" s="97">
      <c r="B9" s="105" t="inlineStr">
        <is>
          <t>B) Bundle-Zulage (je nach Größe deines Teams)</t>
        </is>
      </c>
    </row>
    <row r="10" ht="22" customHeight="1" s="97">
      <c r="B10" s="101" t="inlineStr">
        <is>
          <t>Je mehr Therapeuten in deinem Bundle arbeiten, desto höher dein Gehalt.</t>
        </is>
      </c>
    </row>
    <row r="11" ht="35" customHeight="1" s="97">
      <c r="B11" s="101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97">
      <c r="B12" s="102" t="inlineStr">
        <is>
          <t>Beispiel: 3 Therapeuten à 40 h + 2 à 30 h = 180 h ÷ 30 = 6 TH-Äquivalente.</t>
        </is>
      </c>
    </row>
    <row r="13" ht="22" customHeight="1" s="97">
      <c r="B13" s="101" t="inlineStr">
        <is>
          <t>Pro TH-Äquivalent bekommst du 250 € (für die ersten 4) bzw. 400 € (für 5–9) bzw. 700 € (ab 10) zusätzlich pro Jahr.</t>
        </is>
      </c>
    </row>
    <row r="15" ht="22" customHeight="1" s="97">
      <c r="B15" s="105" t="inlineStr">
        <is>
          <t>C) Variable Zulage</t>
        </is>
      </c>
    </row>
    <row r="16" ht="22" customHeight="1" s="97">
      <c r="B16" s="101" t="inlineStr">
        <is>
          <t>0 % bis 55 % Zulage auf dein Basis-Gehalt (= Sockel + Bundle-Zulage). Die 6 Stufen siehst du gleich in Abschnitt 2.</t>
        </is>
      </c>
    </row>
    <row r="18" ht="22" customHeight="1" s="97">
      <c r="B18" s="104" t="inlineStr">
        <is>
          <t>Beispiel-Rechnung für eine Vollzeit-PM (40 h/Wo) mit 8 TH-Äquivalenten im Bundle:</t>
        </is>
      </c>
    </row>
    <row r="19" ht="22" customHeight="1" s="97">
      <c r="B19" s="101" t="inlineStr">
        <is>
          <t>• Sockel: 40.000 €</t>
        </is>
      </c>
    </row>
    <row r="20" ht="22" customHeight="1" s="97">
      <c r="B20" s="101" t="inlineStr">
        <is>
          <t>• Bundle-Zulage (8 TH-Äqui → kumuliert 2.600 €): + 2.600 €   →   Basis = 42.600 €</t>
        </is>
      </c>
    </row>
    <row r="21" ht="22" customHeight="1" s="97">
      <c r="B21" s="105" t="inlineStr">
        <is>
          <t>• Bei Stufe 3 (+22 % variable Zulage): 42.600 € × 1,22 = 51.972 € pro Jahr = 4.331 € pro Monat</t>
        </is>
      </c>
    </row>
    <row r="23" ht="28" customHeight="1" s="97">
      <c r="B23" s="100" t="inlineStr">
        <is>
          <t>2. Die 6 Stufen im Überblick</t>
        </is>
      </c>
    </row>
    <row r="25" ht="22" customHeight="1" s="97">
      <c r="B25" s="102" t="inlineStr">
        <is>
          <t>Jede Stufe entspricht einer festen variablen Zulage auf dein Basis-Gehalt:</t>
        </is>
      </c>
    </row>
    <row r="27" ht="24" customHeight="1" s="97">
      <c r="B27" s="57" t="inlineStr">
        <is>
          <t>Stufe</t>
        </is>
      </c>
      <c r="C27" s="57" t="inlineStr">
        <is>
          <t>Name</t>
        </is>
      </c>
      <c r="D27" s="57" t="inlineStr">
        <is>
          <t>Zulage %</t>
        </is>
      </c>
      <c r="E27" s="57" t="inlineStr">
        <is>
          <t>Beispielgehalt Vollzeit, 8 TH</t>
        </is>
      </c>
    </row>
    <row r="28" ht="24" customHeight="1" s="97">
      <c r="B28" s="61" t="inlineStr">
        <is>
          <t>1</t>
        </is>
      </c>
      <c r="C28" s="61" t="inlineStr">
        <is>
          <t>Basis</t>
        </is>
      </c>
      <c r="D28" s="61" t="inlineStr">
        <is>
          <t>0 %</t>
        </is>
      </c>
      <c r="E28" s="62" t="inlineStr">
        <is>
          <t>42.600 €</t>
        </is>
      </c>
    </row>
    <row r="29" ht="24" customHeight="1" s="97">
      <c r="B29" s="63" t="inlineStr">
        <is>
          <t>2</t>
        </is>
      </c>
      <c r="C29" s="63" t="inlineStr">
        <is>
          <t>Gut</t>
        </is>
      </c>
      <c r="D29" s="63" t="inlineStr">
        <is>
          <t>11 %</t>
        </is>
      </c>
      <c r="E29" s="64" t="inlineStr">
        <is>
          <t>47.286 €</t>
        </is>
      </c>
    </row>
    <row r="30" ht="24" customHeight="1" s="97">
      <c r="B30" s="61" t="inlineStr">
        <is>
          <t>3</t>
        </is>
      </c>
      <c r="C30" s="61" t="inlineStr">
        <is>
          <t>Stark</t>
        </is>
      </c>
      <c r="D30" s="61" t="inlineStr">
        <is>
          <t>22 %</t>
        </is>
      </c>
      <c r="E30" s="62" t="inlineStr">
        <is>
          <t>51.972 €</t>
        </is>
      </c>
    </row>
    <row r="31" ht="24" customHeight="1" s="97">
      <c r="B31" s="63" t="inlineStr">
        <is>
          <t>4</t>
        </is>
      </c>
      <c r="C31" s="63" t="inlineStr">
        <is>
          <t>Sehr stark</t>
        </is>
      </c>
      <c r="D31" s="63" t="inlineStr">
        <is>
          <t>33 %</t>
        </is>
      </c>
      <c r="E31" s="64" t="inlineStr">
        <is>
          <t>56.658 €</t>
        </is>
      </c>
    </row>
    <row r="32" ht="24" customHeight="1" s="97">
      <c r="B32" s="61" t="inlineStr">
        <is>
          <t>5</t>
        </is>
      </c>
      <c r="C32" s="61" t="inlineStr">
        <is>
          <t>Exzellent</t>
        </is>
      </c>
      <c r="D32" s="61" t="inlineStr">
        <is>
          <t>44 %</t>
        </is>
      </c>
      <c r="E32" s="62" t="inlineStr">
        <is>
          <t>61.344 €</t>
        </is>
      </c>
    </row>
    <row r="33" ht="24" customHeight="1" s="97">
      <c r="B33" s="65" t="inlineStr">
        <is>
          <t>6</t>
        </is>
      </c>
      <c r="C33" s="65" t="inlineStr">
        <is>
          <t>Herausragend</t>
        </is>
      </c>
      <c r="D33" s="65" t="inlineStr">
        <is>
          <t>55 %</t>
        </is>
      </c>
      <c r="E33" s="66" t="inlineStr">
        <is>
          <t>66.030 €</t>
        </is>
      </c>
    </row>
    <row r="36" ht="28" customHeight="1" s="97">
      <c r="B36" s="100" t="inlineStr">
        <is>
          <t>3. Wie ergibt sich deine Stufe?</t>
        </is>
      </c>
    </row>
    <row r="38" ht="22" customHeight="1" s="97">
      <c r="B38" s="101" t="inlineStr">
        <is>
          <t>Deine Stufe steht, wenn zwei Sachen gleichzeitig stimmen:</t>
        </is>
      </c>
    </row>
    <row r="40" ht="22" customHeight="1" s="97">
      <c r="B40" s="105" t="inlineStr">
        <is>
          <t>Bedingung 1 — Wirtschaftlich:</t>
        </is>
      </c>
    </row>
    <row r="41" ht="22" customHeight="1" s="97">
      <c r="B41" s="101" t="inlineStr">
        <is>
          <t>Dein Bundle muss einen bestimmten Umsatz pro Therapie-Stunde erwirtschaften.</t>
        </is>
      </c>
    </row>
    <row r="42" ht="22" customHeight="1" s="97">
      <c r="B42" s="101" t="inlineStr">
        <is>
          <t>Zum Beispiel: Für Stufe 3 brauchst du ca. 73 €/Stunde, für Stufe 5 ca. 84 €/Stunde. Details dazu in Abschnitt 4.</t>
        </is>
      </c>
    </row>
    <row r="44" ht="22" customHeight="1" s="97">
      <c r="B44" s="105" t="inlineStr">
        <is>
          <t>Bedingung 2 — Teamzufriedenheit:</t>
        </is>
      </c>
    </row>
    <row r="45" ht="22" customHeight="1" s="97">
      <c r="B45" s="101" t="inlineStr">
        <is>
          <t>Dein Team muss in der anonymen Quartals-Umfrage einen bestimmten Zufriedenheits-Score erreichen (Skala 0–10).</t>
        </is>
      </c>
    </row>
    <row r="46" ht="22" customHeight="1" s="97">
      <c r="B46" s="101" t="inlineStr">
        <is>
          <t>Zum Beispiel: Stufe 3 braucht ≥ 7,0 — Stufe 5 braucht ≥ 8,5.</t>
        </is>
      </c>
    </row>
    <row r="48" ht="22" customHeight="1" s="97">
      <c r="B48" s="103" t="inlineStr">
        <is>
          <t>Beide Schwellen müssen erfüllt sein — nur wirtschaftlich stark ODER nur glückliches Team reicht nicht.</t>
        </is>
      </c>
    </row>
    <row r="50" ht="22" customHeight="1" s="97">
      <c r="B50" s="105" t="inlineStr">
        <is>
          <t>Die Schwellen pro Stufe:</t>
        </is>
      </c>
    </row>
    <row r="52" ht="22" customHeight="1" s="97">
      <c r="B52" s="57" t="inlineStr">
        <is>
          <t>Stufe</t>
        </is>
      </c>
      <c r="C52" s="57" t="inlineStr">
        <is>
          <t>€/60min Therapie (min.)</t>
        </is>
      </c>
      <c r="D52" s="57" t="inlineStr">
        <is>
          <t>Zufriedenheits-Score (min.)</t>
        </is>
      </c>
    </row>
    <row r="53" ht="22" customHeight="1" s="97">
      <c r="B53" s="63" t="inlineStr">
        <is>
          <t>1 Basis</t>
        </is>
      </c>
      <c r="C53" s="63" t="inlineStr">
        <is>
          <t>61,17 €</t>
        </is>
      </c>
      <c r="D53" s="63" t="inlineStr">
        <is>
          <t>5,0</t>
        </is>
      </c>
    </row>
    <row r="54" ht="22" customHeight="1" s="97">
      <c r="B54" s="61" t="inlineStr">
        <is>
          <t>2 Gut</t>
        </is>
      </c>
      <c r="C54" s="61" t="inlineStr">
        <is>
          <t>66,54 €</t>
        </is>
      </c>
      <c r="D54" s="61" t="inlineStr">
        <is>
          <t>6,0</t>
        </is>
      </c>
    </row>
    <row r="55" ht="22" customHeight="1" s="97">
      <c r="B55" s="63" t="inlineStr">
        <is>
          <t>3 Stark</t>
        </is>
      </c>
      <c r="C55" s="63" t="inlineStr">
        <is>
          <t>72,64 €</t>
        </is>
      </c>
      <c r="D55" s="63" t="inlineStr">
        <is>
          <t>7,0</t>
        </is>
      </c>
    </row>
    <row r="56" ht="22" customHeight="1" s="97">
      <c r="B56" s="61" t="inlineStr">
        <is>
          <t>4 Sehr stark</t>
        </is>
      </c>
      <c r="C56" s="61" t="inlineStr">
        <is>
          <t>77,28 €</t>
        </is>
      </c>
      <c r="D56" s="61" t="inlineStr">
        <is>
          <t>8,0</t>
        </is>
      </c>
    </row>
    <row r="57" ht="22" customHeight="1" s="97">
      <c r="B57" s="63" t="inlineStr">
        <is>
          <t>5 Exzellent</t>
        </is>
      </c>
      <c r="C57" s="63" t="inlineStr">
        <is>
          <t>84,11 €</t>
        </is>
      </c>
      <c r="D57" s="63" t="inlineStr">
        <is>
          <t>8,5</t>
        </is>
      </c>
    </row>
    <row r="58" ht="22" customHeight="1" s="97">
      <c r="B58" s="61" t="inlineStr">
        <is>
          <t>6 Herausragend</t>
        </is>
      </c>
      <c r="C58" s="61" t="inlineStr">
        <is>
          <t>89,48 €</t>
        </is>
      </c>
      <c r="D58" s="61" t="inlineStr">
        <is>
          <t>8,5</t>
        </is>
      </c>
    </row>
    <row r="61" ht="28" customHeight="1" s="97">
      <c r="B61" s="100" t="inlineStr">
        <is>
          <t>4. Was bedeutet »€/60min Therapie«?</t>
        </is>
      </c>
    </row>
    <row r="63" ht="22" customHeight="1" s="97">
      <c r="B63" s="101" t="inlineStr">
        <is>
          <t>Das ist der Wert, an dem deine Leistung gemessen wird.</t>
        </is>
      </c>
    </row>
    <row r="64" ht="22" customHeight="1" s="97">
      <c r="B64" s="101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97">
      <c r="B66" s="103" t="inlineStr">
        <is>
          <t>In einfachen Worten:</t>
        </is>
      </c>
    </row>
    <row r="67" ht="22" customHeight="1" s="97">
      <c r="B67" s="103" t="inlineStr">
        <is>
          <t>Gesamt-Umsatz deines Bundles im Quartal  ÷  alle verfügbaren Arbeitsstunden = €/60min</t>
        </is>
      </c>
    </row>
    <row r="69" ht="22" customHeight="1" s="97">
      <c r="B69" s="101" t="inlineStr">
        <is>
          <t>Verfügbare Arbeitsstunden = alle Vertragsstunden MINUS Urlaub, Fortbildung, Sonderurlaub.</t>
        </is>
      </c>
    </row>
    <row r="70" ht="22" customHeight="1" s="97">
      <c r="B70" s="101" t="inlineStr">
        <is>
          <t>Krankheit wird NICHT abgezogen — die ist schon als 10 %-Puffer im Modell einkalkuliert.</t>
        </is>
      </c>
    </row>
    <row r="72" ht="22" customHeight="1" s="97">
      <c r="B72" s="102" t="inlineStr">
        <is>
          <t>Zum Einordnen: Ein 60-min-GKV-Termin bringt ca. 95 €. Weil zwischen Terminen Zeit für Doku/Pausen bezahlt ist, liegt der Schnitt darunter.</t>
        </is>
      </c>
    </row>
    <row r="75" ht="28" customHeight="1" s="97">
      <c r="B75" s="100" t="inlineStr">
        <is>
          <t>5. Wie kommst du zur nächsten Stufe?</t>
        </is>
      </c>
    </row>
    <row r="77" ht="22" customHeight="1" s="97">
      <c r="B77" s="101" t="inlineStr">
        <is>
          <t>Drei Hebel, um den €/60min nach oben zu bekommen:</t>
        </is>
      </c>
    </row>
    <row r="78" ht="22" customHeight="1" s="97">
      <c r="B78" s="102" t="inlineStr">
        <is>
          <t>Hinweis: die Effekte sind Orientierungswerte (grobe Rechnung), keine exakt vorhergesagten Zahlen.</t>
        </is>
      </c>
    </row>
    <row r="80" ht="34" customHeight="1" s="97">
      <c r="B80" s="57" t="inlineStr">
        <is>
          <t>Hebel</t>
        </is>
      </c>
      <c r="C80" s="57" t="inlineStr">
        <is>
          <t>Was machst du konkret?</t>
        </is>
      </c>
      <c r="D80" s="57" t="inlineStr">
        <is>
          <t>Grober Effekt</t>
        </is>
      </c>
    </row>
    <row r="81" ht="34" customHeight="1" s="97">
      <c r="B81" s="67" t="inlineStr">
        <is>
          <t>Mehr Termine pro Woche</t>
        </is>
      </c>
      <c r="C81" s="67" t="inlineStr">
        <is>
          <t>Auslastung erhöhen, neue Patienten gewinnen, Slots besser nutzen</t>
        </is>
      </c>
      <c r="D81" s="67" t="inlineStr">
        <is>
          <t>+10 Termine/Wo → ca. +3 % Umsatz</t>
        </is>
      </c>
    </row>
    <row r="82" ht="34" customHeight="1" s="97">
      <c r="B82" s="68" t="inlineStr">
        <is>
          <t>Höherer PKV-Anteil</t>
        </is>
      </c>
      <c r="C82" s="68" t="inlineStr">
        <is>
          <t>Privatpatienten aktiv ansprechen (PKV zahlt 1,7× den GKV-Tarif)</t>
        </is>
      </c>
      <c r="D82" s="68" t="inlineStr">
        <is>
          <t>+1 %-Pkt PKV → ca. +0,7 % Umsatz</t>
        </is>
      </c>
    </row>
    <row r="83" ht="34" customHeight="1" s="97">
      <c r="B83" s="67" t="inlineStr">
        <is>
          <t>Krankenstand senken</t>
        </is>
      </c>
      <c r="C83" s="67" t="inlineStr">
        <is>
          <t>Team-Gesundheit, gute Urlaubsplanung, keine Ansteckungsketten</t>
        </is>
      </c>
      <c r="D83" s="67" t="inlineStr">
        <is>
          <t>−1 %-Pkt Krank → ca. +0,5 % Umsatz</t>
        </is>
      </c>
    </row>
    <row r="85" ht="22" customHeight="1" s="97">
      <c r="B85" s="102" t="inlineStr">
        <is>
          <t>Plus: Team-Zufriedenheits-Score hoch halten — ohne den bringt dir der beste Leistungsindex nichts.</t>
        </is>
      </c>
    </row>
    <row r="87" ht="28" customHeight="1" s="97">
      <c r="B87" s="100" t="inlineStr">
        <is>
          <t>6. Spezial-Regeln</t>
        </is>
      </c>
    </row>
    <row r="89" ht="22" customHeight="1" s="97">
      <c r="B89" s="105" t="inlineStr">
        <is>
          <t>Probezeit (erste 6 Monate):</t>
        </is>
      </c>
    </row>
    <row r="90" ht="22" customHeight="1" s="97">
      <c r="B90" s="101" t="inlineStr">
        <is>
          <t>Stufe ist fix auf 1 (Basis), Bundle-Zulage zählt nicht, Gehalt = Mindestgehalt. Nach 180 Tagen greift das Stufensystem.</t>
        </is>
      </c>
    </row>
    <row r="92" ht="22" customHeight="1" s="97">
      <c r="B92" s="105" t="inlineStr">
        <is>
          <t>Max ±1 Stufenwechsel pro Quartal:</t>
        </is>
      </c>
    </row>
    <row r="93" ht="22" customHeight="1" s="97">
      <c r="B93" s="101" t="inlineStr">
        <is>
          <t>Auch bei perfekter Performance kannst du pro Quartal nur eine Stufe steigen. Ein Abstieg ist auf −1 Stufe begrenzt.</t>
        </is>
      </c>
    </row>
    <row r="95" ht="22" customHeight="1" s="97">
      <c r="B95" s="105" t="inlineStr">
        <is>
          <t>Neuanfänger (neue TH im Bundle):</t>
        </is>
      </c>
    </row>
    <row r="96" ht="22" customHeight="1" s="97">
      <c r="B96" s="101" t="inlineStr">
        <is>
          <t>Frisch eingestellte TH zählen erst ab dem 29. Tag ihres Arbeitsverhältnisses — damit ihre Einarbeitung deinen €/60min-Wert nicht drückt.</t>
        </is>
      </c>
    </row>
    <row r="97" ht="51" customHeight="1" s="97"/>
    <row r="98" ht="22" customHeight="1" s="97">
      <c r="B98" s="105" t="n"/>
    </row>
    <row r="99" ht="22" customHeight="1" s="97">
      <c r="B99" s="101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2026-06-04T14:30:25Z</dcterms:modified>
  <cp:lastModifiedBy>Valentin Irmen</cp:lastModifiedBy>
  <cp:revision>0</cp:revision>
</cp:coreProperties>
</file>