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1" autoFilterDateGrouping="1"/>
  </bookViews>
  <sheets>
    <sheet name="Anleitung Q-Wechsel" sheetId="1" state="visible" r:id="rId1"/>
    <sheet name="PM-Stammdaten" sheetId="2" state="visible" r:id="rId2"/>
    <sheet name="Quartals-Bewertungen" sheetId="3" state="visible" r:id="rId3"/>
    <sheet name="Parameter" sheetId="4" state="visible" r:id="rId4"/>
    <sheet name="Stufentabelle" sheetId="5" state="visible" r:id="rId5"/>
    <sheet name="TH-Zulagen" sheetId="6" state="visible" r:id="rId6"/>
    <sheet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</numFmts>
  <fonts count="28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 /><Relationship Type="http://schemas.openxmlformats.org/officeDocument/2006/relationships/hyperlink" Target="https://github.com/virmen/vacura-pm-dash-9f3k2/blob/main/METHODE.md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4" t="inlineStr">
        <is>
          <t>📋 Anleitung Quartalswechsel — Was tun, wenn ein Quartal endet?</t>
        </is>
      </c>
    </row>
    <row r="3" ht="30" customHeight="1" s="45">
      <c r="A3" s="47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tabSelected="1"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4" t="inlineStr">
        <is>
          <t>👥 PM-Stammdaten (Quelle der Wahrheit für PM-Liste)</t>
        </is>
      </c>
    </row>
    <row r="3" ht="60" customHeight="1" s="45">
      <c r="A3" s="47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47" t="inlineStr">
        <is>
          <t>Laura</t>
        </is>
      </c>
      <c r="B6" s="47" t="n">
        <v>40</v>
      </c>
      <c r="C6" s="47" t="n">
        <v>65</v>
      </c>
      <c r="D6" s="47" t="n">
        <v>45000</v>
      </c>
      <c r="E6" s="47" t="n"/>
      <c r="F6" s="47" t="inlineStr">
        <is>
          <t>Spandau, Mitte</t>
        </is>
      </c>
      <c r="G6" s="47" t="inlineStr">
        <is>
          <t>Laura, Max</t>
        </is>
      </c>
      <c r="H6" s="47" t="inlineStr">
        <is>
          <t>#4CAF50</t>
        </is>
      </c>
      <c r="I6" s="47" t="inlineStr">
        <is>
          <t>8278b207ba9e80605ae5f1604d696759</t>
        </is>
      </c>
      <c r="J6" s="47" t="b">
        <v>1</v>
      </c>
    </row>
    <row r="7" ht="32" customHeight="1" s="45">
      <c r="A7" s="47" t="inlineStr">
        <is>
          <t>Marleen</t>
        </is>
      </c>
      <c r="B7" s="47" t="n">
        <v>40</v>
      </c>
      <c r="C7" s="47" t="n">
        <v>120</v>
      </c>
      <c r="D7" s="47" t="n">
        <v>45000</v>
      </c>
      <c r="E7" s="47" t="n"/>
      <c r="F7" s="47" t="inlineStr">
        <is>
          <t>Friedrichshain, Charlottenburg, Prenzlauer Berg</t>
        </is>
      </c>
      <c r="G7" s="47" t="inlineStr">
        <is>
          <t>Marleen, Luise, Emily</t>
        </is>
      </c>
      <c r="H7" s="47" t="inlineStr">
        <is>
          <t>#2196F3</t>
        </is>
      </c>
      <c r="I7" s="47" t="inlineStr">
        <is>
          <t>0093979f8cf4df0f67ec20b6e35e6beb</t>
        </is>
      </c>
      <c r="J7" s="47" t="b">
        <v>1</v>
      </c>
    </row>
    <row r="8" ht="32" customHeight="1" s="45">
      <c r="A8" s="47" t="inlineStr">
        <is>
          <t>Luise</t>
        </is>
      </c>
      <c r="B8" s="47" t="n">
        <v>40</v>
      </c>
      <c r="C8" s="47" t="n">
        <v>120</v>
      </c>
      <c r="D8" s="47" t="n">
        <v>40000</v>
      </c>
      <c r="E8" s="47" t="inlineStr">
        <is>
          <t>2026-02-01</t>
        </is>
      </c>
      <c r="F8" s="47" t="inlineStr">
        <is>
          <t>Friedrichshain, Charlottenburg, Prenzlauer Berg</t>
        </is>
      </c>
      <c r="G8" s="47" t="inlineStr">
        <is>
          <t>Marleen, Luise, Emily</t>
        </is>
      </c>
      <c r="H8" s="47" t="inlineStr">
        <is>
          <t>#9C27B0</t>
        </is>
      </c>
      <c r="I8" s="47" t="inlineStr">
        <is>
          <t>52981192518b734a346928ed713bc015</t>
        </is>
      </c>
      <c r="J8" s="47" t="b">
        <v>1</v>
      </c>
    </row>
    <row r="9" ht="16" customHeight="1" s="45">
      <c r="A9" s="47" t="inlineStr">
        <is>
          <t>Max</t>
        </is>
      </c>
      <c r="B9" s="47" t="n">
        <v>30</v>
      </c>
      <c r="C9" s="47" t="n">
        <v>65</v>
      </c>
      <c r="D9" s="47" t="n">
        <v>40000</v>
      </c>
      <c r="E9" s="47" t="inlineStr">
        <is>
          <t>2026-02-01</t>
        </is>
      </c>
      <c r="F9" s="47" t="inlineStr">
        <is>
          <t>Spandau, Mitte</t>
        </is>
      </c>
      <c r="G9" s="47" t="inlineStr">
        <is>
          <t>Laura, Max</t>
        </is>
      </c>
      <c r="H9" s="47" t="inlineStr">
        <is>
          <t>#FF9800</t>
        </is>
      </c>
      <c r="I9" s="47" t="inlineStr">
        <is>
          <t>5051837ce5b8f243f109306f60136f17</t>
        </is>
      </c>
      <c r="J9" s="47" t="b">
        <v>1</v>
      </c>
    </row>
    <row r="10" ht="32" customHeight="1" s="45">
      <c r="A10" s="47" t="inlineStr">
        <is>
          <t>Emily</t>
        </is>
      </c>
      <c r="B10" s="47" t="n">
        <v>40</v>
      </c>
      <c r="C10" s="47" t="n">
        <v>120</v>
      </c>
      <c r="D10" s="47" t="n">
        <v>40000</v>
      </c>
      <c r="E10" s="43" t="n">
        <v>46204</v>
      </c>
      <c r="F10" s="47" t="inlineStr">
        <is>
          <t>Friedrichshain, Charlottenburg, Prenzlauer Berg</t>
        </is>
      </c>
      <c r="G10" s="47" t="inlineStr">
        <is>
          <t>Marleen, Luise, Emily</t>
        </is>
      </c>
      <c r="H10" s="47" t="inlineStr">
        <is>
          <t>#0D595A</t>
        </is>
      </c>
      <c r="I10" s="47" t="inlineStr">
        <is>
          <t>34ff01c507e5f18ac55f03759f68f856</t>
        </is>
      </c>
      <c r="J10" s="47" t="b">
        <v>1</v>
      </c>
    </row>
    <row r="11"/>
    <row r="12">
      <c r="A12" s="35" t="inlineStr">
        <is>
          <t>Auto-Befüllung beim Dashboard-Lauf:</t>
        </is>
      </c>
    </row>
    <row r="13">
      <c r="A13" s="46" t="inlineStr">
        <is>
          <t>• Spalte 8 leer → Default-Farbe #0D595A (Vacura-Teal)</t>
        </is>
      </c>
    </row>
    <row r="14">
      <c r="A14" s="46" t="inlineStr">
        <is>
          <t>• Spalte 9 leer → Token wird per secrets.token_hex(16) erzeugt + hier eingetragen</t>
        </is>
      </c>
    </row>
    <row r="15">
      <c r="A15" s="46" t="inlineStr">
        <is>
          <t>• Spalte 10 leer → Aktiv=Ja angenommen. Auf FALSE setzen um PM zu deaktivieren (z.B. Austritt)</t>
        </is>
      </c>
    </row>
    <row r="16">
      <c r="A16" s="46" t="inlineStr">
        <is>
          <t>• Plus: Daten-Tab Stammdaten-Spalten 1-6 werden parallel gespiegelt, falls dort noch keine Zeile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9"/>
  <sheetViews>
    <sheetView workbookViewId="0">
      <selection activeCell="H18" sqref="H18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4" t="inlineStr">
        <is>
          <t>📊 Quartals-Bewertungen (Input + Output in einem Sheet)</t>
        </is>
      </c>
    </row>
    <row r="3" ht="45" customHeight="1" s="45">
      <c r="A3" s="51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6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294446</v>
      </c>
      <c r="G12" t="n">
        <v>8.48</v>
      </c>
      <c r="H12" t="n">
        <v>5265.3</v>
      </c>
      <c r="I12" t="n">
        <v>721</v>
      </c>
      <c r="J12" t="n">
        <v>343.5</v>
      </c>
      <c r="K12" t="n">
        <v>266847</v>
      </c>
      <c r="L12" t="n">
        <v>4200.8</v>
      </c>
      <c r="M12" t="n">
        <v>63.52</v>
      </c>
      <c r="N12" t="n">
        <v>1</v>
      </c>
      <c r="O12" t="n">
        <v>1</v>
      </c>
      <c r="P12" t="inlineStr">
        <is>
          <t>Nein</t>
        </is>
      </c>
      <c r="Q12" t="n">
        <v>-27599</v>
      </c>
      <c r="R12" s="48" t="inlineStr">
        <is>
          <t>⚠️ Diff -9.4 %</t>
        </is>
      </c>
      <c r="S12" t="inlineStr">
        <is>
          <t>2026-07-21 15:01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424403</v>
      </c>
      <c r="G13" t="n">
        <v>7.8</v>
      </c>
      <c r="H13" t="n">
        <v>7478.6</v>
      </c>
      <c r="I13" t="n">
        <v>1345.5</v>
      </c>
      <c r="J13" t="n">
        <v>440.5</v>
      </c>
      <c r="K13" t="n">
        <v>373518</v>
      </c>
      <c r="L13" t="n">
        <v>5692.6</v>
      </c>
      <c r="M13" t="n">
        <v>65.61</v>
      </c>
      <c r="N13" t="n">
        <v>1</v>
      </c>
      <c r="O13" t="n">
        <v>1</v>
      </c>
      <c r="P13" t="inlineStr">
        <is>
          <t>Nein</t>
        </is>
      </c>
      <c r="Q13" t="n">
        <v>-50885</v>
      </c>
      <c r="R13" s="48" t="inlineStr">
        <is>
          <t>⚠️ Diff -12.0 %</t>
        </is>
      </c>
      <c r="S13" t="inlineStr">
        <is>
          <t>2026-07-21 15:01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424403</v>
      </c>
      <c r="G14" t="n">
        <v>9.199999999999999</v>
      </c>
      <c r="H14" t="n">
        <v>7478.6</v>
      </c>
      <c r="I14" t="n">
        <v>1345.5</v>
      </c>
      <c r="J14" t="n">
        <v>440.5</v>
      </c>
      <c r="K14" t="n">
        <v>373518</v>
      </c>
      <c r="L14" t="n">
        <v>5692.6</v>
      </c>
      <c r="M14" t="n">
        <v>65.61</v>
      </c>
      <c r="N14" t="n">
        <v>1</v>
      </c>
      <c r="O14" t="n">
        <v>1</v>
      </c>
      <c r="P14" t="inlineStr">
        <is>
          <t>Ja</t>
        </is>
      </c>
      <c r="Q14" t="n">
        <v>-50885</v>
      </c>
      <c r="R14" s="48" t="inlineStr">
        <is>
          <t>⚠️ Diff -12.0 %</t>
        </is>
      </c>
      <c r="S14" t="inlineStr">
        <is>
          <t>2026-07-21 15:01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294446</v>
      </c>
      <c r="G15" t="n">
        <v>9.08</v>
      </c>
      <c r="H15" t="n">
        <v>5265.3</v>
      </c>
      <c r="I15" t="n">
        <v>721</v>
      </c>
      <c r="J15" t="n">
        <v>343.5</v>
      </c>
      <c r="K15" t="n">
        <v>266847</v>
      </c>
      <c r="L15" t="n">
        <v>4200.8</v>
      </c>
      <c r="M15" t="n">
        <v>63.52</v>
      </c>
      <c r="N15" t="n">
        <v>1</v>
      </c>
      <c r="O15" t="n">
        <v>1</v>
      </c>
      <c r="P15" t="inlineStr">
        <is>
          <t>Ja</t>
        </is>
      </c>
      <c r="Q15" t="n">
        <v>-27599</v>
      </c>
      <c r="R15" s="48" t="inlineStr">
        <is>
          <t>⚠️ Diff -9.4 %</t>
        </is>
      </c>
      <c r="S15" t="inlineStr">
        <is>
          <t>2026-07-21 15:01</t>
        </is>
      </c>
    </row>
    <row r="16">
      <c r="A16" t="inlineStr">
        <is>
          <t>Q2 2026</t>
        </is>
      </c>
      <c r="B16" t="inlineStr">
        <is>
          <t>Emily</t>
        </is>
      </c>
      <c r="H16" t="n">
        <v>7478.6</v>
      </c>
      <c r="I16" t="n">
        <v>1345.5</v>
      </c>
      <c r="J16" t="n">
        <v>440.5</v>
      </c>
      <c r="K16" t="n">
        <v>373518</v>
      </c>
      <c r="L16" t="n">
        <v>5692.6</v>
      </c>
      <c r="M16" t="n">
        <v>65.61</v>
      </c>
      <c r="N16" t="n">
        <v>1</v>
      </c>
      <c r="O16" t="n">
        <v>1</v>
      </c>
      <c r="P16" t="inlineStr">
        <is>
          <t>Ja</t>
        </is>
      </c>
      <c r="R16" t="inlineStr">
        <is>
          <t>⏳ Zufriedenheit fehlt</t>
        </is>
      </c>
      <c r="S16" t="inlineStr">
        <is>
          <t>2026-07-21 15:01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</row>
    <row r="8"/>
    <row r="9"/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2026-03-18T09:25:26Z</dcterms:created>
  <dcterms:modified xsi:type="dcterms:W3CDTF">2026-07-21T15:01:34Z</dcterms:modified>
  <cp:lastModifiedBy>Valentin Irmen</cp:lastModifiedBy>
  <cp:revision>0</cp:revision>
</cp:coreProperties>
</file>