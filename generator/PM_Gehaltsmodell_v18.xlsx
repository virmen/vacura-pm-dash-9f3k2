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00" yWindow="-19780" windowWidth="24200" windowHeight="15120" tabRatio="500" firstSheet="0" activeTab="6" autoFilterDateGrouping="1"/>
  </bookViews>
  <sheets>
    <sheet xmlns:r="http://schemas.openxmlformats.org/officeDocument/2006/relationships" name="Modell" sheetId="1" state="visible" r:id="rId1"/>
    <sheet xmlns:r="http://schemas.openxmlformats.org/officeDocument/2006/relationships" name="Anleitung Q-Wechsel" sheetId="2" state="visible" r:id="rId2"/>
    <sheet xmlns:r="http://schemas.openxmlformats.org/officeDocument/2006/relationships" name="Audit Q1 2026" sheetId="3" state="visible" r:id="rId3"/>
    <sheet xmlns:r="http://schemas.openxmlformats.org/officeDocument/2006/relationships" name="Audit Q2 2026" sheetId="4" state="visible" r:id="rId4"/>
    <sheet xmlns:r="http://schemas.openxmlformats.org/officeDocument/2006/relationships" name="Sanity (MediFox)" sheetId="5" state="visible" r:id="rId5"/>
    <sheet xmlns:r="http://schemas.openxmlformats.org/officeDocument/2006/relationships" name="Laura" sheetId="6" state="visible" r:id="rId6"/>
    <sheet xmlns:r="http://schemas.openxmlformats.org/officeDocument/2006/relationships" name="Marleen" sheetId="7" state="visible" r:id="rId7"/>
    <sheet xmlns:r="http://schemas.openxmlformats.org/officeDocument/2006/relationships" name="Luise" sheetId="8" state="visible" r:id="rId8"/>
    <sheet xmlns:r="http://schemas.openxmlformats.org/officeDocument/2006/relationships" name="PM-Stammdaten" sheetId="9" state="visible" r:id="rId9"/>
    <sheet xmlns:r="http://schemas.openxmlformats.org/officeDocument/2006/relationships" name="Max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Daten" sheetId="12" state="visible" r:id="rId12"/>
    <sheet xmlns:r="http://schemas.openxmlformats.org/officeDocument/2006/relationships" name="Berechnung" sheetId="13" state="visible" r:id="rId13"/>
    <sheet xmlns:r="http://schemas.openxmlformats.org/officeDocument/2006/relationships" name="Parameter" sheetId="14" state="visible" r:id="rId14"/>
    <sheet xmlns:r="http://schemas.openxmlformats.org/officeDocument/2006/relationships" name="Stufentabelle" sheetId="15" state="visible" r:id="rId15"/>
    <sheet xmlns:r="http://schemas.openxmlformats.org/officeDocument/2006/relationships" name="TH-Zulagen" sheetId="16" state="visible" r:id="rId16"/>
    <sheet xmlns:r="http://schemas.openxmlformats.org/officeDocument/2006/relationships" name="PM-Vorlage" sheetId="17" state="hidden" r:id="rId17"/>
    <sheet xmlns:r="http://schemas.openxmlformats.org/officeDocument/2006/relationships" name="Kalibrierung alt" sheetId="18" state="hidden" r:id="rId18"/>
  </sheets>
  <definedNames/>
  <calcPr calcId="191029" fullCalcOnLoad="1"/>
</workbook>
</file>

<file path=xl/styles.xml><?xml version="1.0" encoding="utf-8"?>
<styleSheet xmlns="http://schemas.openxmlformats.org/spreadsheetml/2006/main">
  <numFmts count="17">
    <numFmt numFmtId="164" formatCode="#,##0&quot; €&quot;"/>
    <numFmt numFmtId="165" formatCode="0.0"/>
    <numFmt numFmtId="166" formatCode="0.000"/>
    <numFmt numFmtId="167" formatCode="#,##0.00\ &quot;€&quot;;[Red]\-#,##0.00\ &quot;€&quot;"/>
    <numFmt numFmtId="168" formatCode="#,##0.0&quot; h&quot;"/>
    <numFmt numFmtId="169" formatCode="yyyy\-mm\-dd\ h:mm:ss"/>
    <numFmt numFmtId="170" formatCode="#,##0\ &quot;€&quot;;[Red]\-#,##0\ &quot;€&quot;"/>
    <numFmt numFmtId="171" formatCode="#,##0&quot; h&quot;"/>
    <numFmt numFmtId="172" formatCode="_-* #,##0.00\ &quot;€&quot;_-;\-* #,##0.00\ &quot;€&quot;_-;_-* &quot;-&quot;??\ &quot;€&quot;_-;_-@_-"/>
    <numFmt numFmtId="173" formatCode="_-* #,##0.00_-;\-* #,##0.00_-;_-* &quot;-&quot;??_-;_-@_-"/>
    <numFmt numFmtId="174" formatCode="#,##0.00&quot; €&quot;"/>
    <numFmt numFmtId="175" formatCode="0&quot; h&quot;"/>
    <numFmt numFmtId="176" formatCode="#,##0.00&quot; €/h&quot;"/>
    <numFmt numFmtId="177" formatCode="\+#,##0&quot; €&quot;"/>
    <numFmt numFmtId="178" formatCode="\+#,##0.00&quot; €/h&quot;"/>
    <numFmt numFmtId="179" formatCode="#,##0.0"/>
    <numFmt numFmtId="180" formatCode="#,##0 €"/>
  </numFmts>
  <fonts count="52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color rgb="FF888888"/>
      <sz val="9"/>
    </font>
    <font>
      <name val="Arial"/>
      <family val="2"/>
      <sz val="10"/>
    </font>
    <font>
      <name val="Arial"/>
      <family val="2"/>
      <b val="1"/>
      <color rgb="FF0D595A"/>
      <sz val="16"/>
    </font>
    <font>
      <name val="Arial"/>
      <family val="2"/>
      <i val="1"/>
      <color rgb="FF888888"/>
      <sz val="10"/>
    </font>
    <font>
      <name val="Calibri"/>
      <family val="2"/>
      <color rgb="FF333333"/>
      <sz val="11"/>
    </font>
    <font>
      <name val="Arial"/>
      <family val="2"/>
      <color theme="1"/>
      <sz val="10"/>
    </font>
    <font>
      <name val="Arial"/>
      <family val="2"/>
      <color rgb="FF333333"/>
      <sz val="11"/>
    </font>
    <font>
      <name val="Arial"/>
      <family val="2"/>
      <b val="1"/>
      <color rgb="FF333333"/>
      <sz val="11"/>
    </font>
    <font>
      <name val="Calibri"/>
      <family val="2"/>
      <b val="1"/>
      <sz val="10"/>
    </font>
    <font>
      <name val="Calibri"/>
      <family val="2"/>
      <b val="1"/>
      <color rgb="FFFFFFFF"/>
      <sz val="13"/>
    </font>
    <font>
      <name val="Calibri"/>
      <family val="2"/>
      <i val="1"/>
      <color rgb="FF37474F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sz val="11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charset val="1"/>
      <family val="2"/>
      <color theme="1"/>
      <sz val="11"/>
    </font>
    <font>
      <name val="Calibri"/>
      <family val="2"/>
      <b val="1"/>
      <sz val="11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color rgb="FFFFFFFF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263238"/>
      <sz val="11"/>
    </font>
    <font>
      <name val="Calibri"/>
      <family val="2"/>
      <color rgb="FF263238"/>
      <sz val="11"/>
    </font>
    <font>
      <name val="Calibri"/>
      <family val="2"/>
      <b val="1"/>
      <sz val="10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rgb="FF263238"/>
      <sz val="18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color rgb="FF1B5E20"/>
      <sz val="11"/>
    </font>
    <font>
      <b val="1"/>
      <sz val="14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i val="1"/>
    </font>
    <font>
      <name val="SF Mono"/>
      <sz val="10"/>
    </font>
    <font>
      <b val="1"/>
      <color rgb="001A8A8B"/>
    </font>
    <font>
      <i val="1"/>
      <color rgb="00666666"/>
    </font>
  </fonts>
  <fills count="33">
    <fill>
      <patternFill/>
    </fill>
    <fill>
      <patternFill patternType="gray125"/>
    </fill>
    <fill>
      <patternFill patternType="solid">
        <fgColor rgb="FF0D595A"/>
        <bgColor rgb="FF008080"/>
      </patternFill>
    </fill>
    <fill>
      <patternFill patternType="solid">
        <fgColor rgb="FFFFF2CC"/>
        <bgColor rgb="FFFDE9D9"/>
      </patternFill>
    </fill>
    <fill>
      <patternFill patternType="solid">
        <fgColor rgb="FF263238"/>
      </patternFill>
    </fill>
    <fill>
      <patternFill patternType="solid">
        <fgColor rgb="FF607D8B"/>
      </patternFill>
    </fill>
    <fill>
      <patternFill patternType="solid">
        <fgColor rgb="FF455A64"/>
      </patternFill>
    </fill>
    <fill>
      <patternFill patternType="solid">
        <fgColor rgb="FFECEFF1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FFECB3"/>
      </patternFill>
    </fill>
    <fill>
      <patternFill patternType="solid">
        <fgColor rgb="FFC8E6C9"/>
      </patternFill>
    </fill>
    <fill>
      <patternFill patternType="solid">
        <fgColor rgb="FFB71C1C"/>
      </patternFill>
    </fill>
    <fill>
      <patternFill patternType="solid">
        <fgColor rgb="FF263238"/>
      </patternFill>
    </fill>
    <fill>
      <patternFill patternType="solid">
        <fgColor rgb="FF455A64"/>
      </patternFill>
    </fill>
    <fill>
      <patternFill patternType="solid">
        <fgColor rgb="FFECEFF1"/>
      </patternFill>
    </fill>
    <fill>
      <patternFill patternType="solid">
        <fgColor rgb="FFE8F5E9"/>
      </patternFill>
    </fill>
    <fill>
      <patternFill patternType="solid">
        <fgColor rgb="FF455A64"/>
      </patternFill>
    </fill>
    <fill>
      <patternFill patternType="solid">
        <fgColor rgb="FFE0F2F1"/>
      </patternFill>
    </fill>
    <fill>
      <patternFill patternType="solid">
        <fgColor rgb="FF263238"/>
      </patternFill>
    </fill>
    <fill>
      <patternFill patternType="solid">
        <fgColor rgb="FF607D8B"/>
      </patternFill>
    </fill>
    <fill>
      <patternFill patternType="solid">
        <fgColor rgb="FFECEFF1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FECB3"/>
      </patternFill>
    </fill>
    <fill>
      <patternFill patternType="solid">
        <fgColor rgb="FF455A64"/>
      </patternFill>
    </fill>
    <fill>
      <patternFill patternType="solid">
        <fgColor rgb="FFE0F2F1"/>
      </patternFill>
    </fill>
    <fill>
      <patternFill patternType="solid">
        <fgColor rgb="001A8A8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5F5F5"/>
      </patternFill>
    </fill>
    <fill>
      <patternFill patternType="solid">
        <fgColor rgb="00FFF8E1"/>
      </patternFill>
    </fill>
  </fills>
  <borders count="9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medium">
        <color rgb="FF455A64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medium">
        <color rgb="FF455A64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3">
    <xf numFmtId="0" fontId="24" fillId="0" borderId="0"/>
    <xf numFmtId="43" fontId="24" fillId="0" borderId="0"/>
    <xf numFmtId="44" fontId="24" fillId="0" borderId="0"/>
  </cellStyleXfs>
  <cellXfs count="164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9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3" fillId="3" borderId="1" pivotButton="0" quotePrefix="0" xfId="0"/>
    <xf numFmtId="9" fontId="3" fillId="3" borderId="1" pivotButton="0" quotePrefix="0" xfId="0"/>
    <xf numFmtId="164" fontId="3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9" fontId="8" fillId="0" borderId="0" pivotButton="0" quotePrefix="0" xfId="0"/>
    <xf numFmtId="9" fontId="10" fillId="0" borderId="0" pivotButton="0" quotePrefix="0" xfId="0"/>
    <xf numFmtId="167" fontId="10" fillId="0" borderId="0" pivotButton="0" quotePrefix="0" xfId="0"/>
    <xf numFmtId="9" fontId="11" fillId="0" borderId="0" pivotButton="0" quotePrefix="0" xfId="0"/>
    <xf numFmtId="167" fontId="11" fillId="0" borderId="0" pivotButton="0" quotePrefix="0" xfId="0"/>
    <xf numFmtId="0" fontId="15" fillId="5" borderId="0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left" vertical="center" wrapText="1"/>
    </xf>
    <xf numFmtId="3" fontId="17" fillId="7" borderId="2" applyAlignment="1" pivotButton="0" quotePrefix="0" xfId="0">
      <alignment horizontal="center" vertical="center" wrapText="1"/>
    </xf>
    <xf numFmtId="164" fontId="17" fillId="7" borderId="2" applyAlignment="1" pivotButton="0" quotePrefix="0" xfId="0">
      <alignment horizontal="center" vertical="center" wrapText="1"/>
    </xf>
    <xf numFmtId="168" fontId="17" fillId="8" borderId="3" applyAlignment="1" pivotButton="0" quotePrefix="0" xfId="0">
      <alignment horizontal="center" vertical="center" wrapText="1"/>
    </xf>
    <xf numFmtId="168" fontId="17" fillId="8" borderId="2" applyAlignment="1" pivotButton="0" quotePrefix="0" xfId="0">
      <alignment horizontal="center" vertical="center" wrapText="1"/>
    </xf>
    <xf numFmtId="164" fontId="17" fillId="8" borderId="2" applyAlignment="1" pivotButton="0" quotePrefix="0" xfId="0">
      <alignment horizontal="center" vertical="center" wrapText="1"/>
    </xf>
    <xf numFmtId="165" fontId="17" fillId="9" borderId="2" applyAlignment="1" pivotButton="0" quotePrefix="0" xfId="0">
      <alignment horizontal="center" vertical="center" wrapText="1"/>
    </xf>
    <xf numFmtId="165" fontId="17" fillId="9" borderId="4" applyAlignment="1" pivotButton="0" quotePrefix="0" xfId="0">
      <alignment horizontal="center" vertical="center" wrapText="1"/>
    </xf>
    <xf numFmtId="0" fontId="17" fillId="10" borderId="3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left" vertical="center" wrapText="1"/>
    </xf>
    <xf numFmtId="0" fontId="17" fillId="10" borderId="4" applyAlignment="1" pivotButton="0" quotePrefix="0" xfId="0">
      <alignment horizontal="left" vertical="center" wrapText="1"/>
    </xf>
    <xf numFmtId="169" fontId="17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165" fontId="17" fillId="7" borderId="3" applyAlignment="1" pivotButton="0" quotePrefix="0" xfId="0">
      <alignment horizontal="center" vertical="center" wrapText="1"/>
    </xf>
    <xf numFmtId="168" fontId="17" fillId="7" borderId="2" applyAlignment="1" pivotButton="0" quotePrefix="0" xfId="0">
      <alignment horizontal="center" vertical="center" wrapText="1"/>
    </xf>
    <xf numFmtId="165" fontId="17" fillId="7" borderId="2" applyAlignment="1" pivotButton="0" quotePrefix="0" xfId="0">
      <alignment horizontal="center" vertical="center" wrapText="1"/>
    </xf>
    <xf numFmtId="3" fontId="12" fillId="11" borderId="2" applyAlignment="1" pivotButton="0" quotePrefix="0" xfId="0">
      <alignment horizontal="center" vertical="center" wrapText="1"/>
    </xf>
    <xf numFmtId="49" fontId="17" fillId="7" borderId="2" applyAlignment="1" pivotButton="0" quotePrefix="0" xfId="0">
      <alignment horizontal="center" vertical="center" wrapText="1"/>
    </xf>
    <xf numFmtId="9" fontId="17" fillId="7" borderId="2" applyAlignment="1" pivotButton="0" quotePrefix="0" xfId="0">
      <alignment horizontal="center" vertical="center" wrapText="1"/>
    </xf>
    <xf numFmtId="164" fontId="12" fillId="12" borderId="4" applyAlignment="1" pivotButton="0" quotePrefix="0" xfId="0">
      <alignment horizontal="center" vertical="center" wrapText="1"/>
    </xf>
    <xf numFmtId="170" fontId="0" fillId="0" borderId="0" pivotButton="0" quotePrefix="0" xfId="0"/>
    <xf numFmtId="3" fontId="0" fillId="0" borderId="0" pivotButton="0" quotePrefix="0" xfId="0"/>
    <xf numFmtId="0" fontId="18" fillId="0" borderId="0" pivotButton="0" quotePrefix="0" xfId="0"/>
    <xf numFmtId="0" fontId="21" fillId="15" borderId="5" applyAlignment="1" pivotButton="0" quotePrefix="0" xfId="0">
      <alignment horizontal="center" vertical="center" wrapText="1"/>
    </xf>
    <xf numFmtId="0" fontId="22" fillId="16" borderId="5" applyAlignment="1" pivotButton="0" quotePrefix="0" xfId="0">
      <alignment horizontal="left" vertical="center" wrapText="1" indent="1"/>
    </xf>
    <xf numFmtId="0" fontId="23" fillId="16" borderId="5" applyAlignment="1" pivotButton="0" quotePrefix="0" xfId="0">
      <alignment horizontal="left" vertical="center" wrapText="1" indent="1"/>
    </xf>
    <xf numFmtId="171" fontId="23" fillId="16" borderId="5" applyAlignment="1" pivotButton="0" quotePrefix="0" xfId="0">
      <alignment horizontal="center" vertical="center" wrapText="1"/>
    </xf>
    <xf numFmtId="172" fontId="0" fillId="0" borderId="0" pivotButton="0" quotePrefix="0" xfId="2"/>
    <xf numFmtId="172" fontId="0" fillId="0" borderId="0" pivotButton="0" quotePrefix="0" xfId="0"/>
    <xf numFmtId="167" fontId="9" fillId="0" borderId="0" pivotButton="0" quotePrefix="0" xfId="0"/>
    <xf numFmtId="173" fontId="0" fillId="0" borderId="0" pivotButton="0" quotePrefix="0" xfId="1"/>
    <xf numFmtId="0" fontId="27" fillId="18" borderId="6" applyAlignment="1" pivotButton="0" quotePrefix="0" xfId="0">
      <alignment horizontal="center" vertical="center" wrapText="1"/>
    </xf>
    <xf numFmtId="174" fontId="28" fillId="19" borderId="6" applyAlignment="1" pivotButton="0" quotePrefix="0" xfId="0">
      <alignment horizontal="center" vertical="center" wrapText="1"/>
    </xf>
    <xf numFmtId="0" fontId="25" fillId="0" borderId="0" pivotButton="0" quotePrefix="0" xfId="0"/>
    <xf numFmtId="174" fontId="0" fillId="0" borderId="0" pivotButton="0" quotePrefix="0" xfId="0"/>
    <xf numFmtId="0" fontId="28" fillId="23" borderId="6" applyAlignment="1" pivotButton="0" quotePrefix="0" xfId="0">
      <alignment horizontal="center" vertical="center" wrapText="1"/>
    </xf>
    <xf numFmtId="0" fontId="28" fillId="23" borderId="6" applyAlignment="1" pivotButton="0" quotePrefix="0" xfId="0">
      <alignment horizontal="right" vertical="center"/>
    </xf>
    <xf numFmtId="0" fontId="28" fillId="22" borderId="6" applyAlignment="1" pivotButton="0" quotePrefix="0" xfId="0">
      <alignment horizontal="center" vertical="center" wrapText="1"/>
    </xf>
    <xf numFmtId="0" fontId="28" fillId="22" borderId="6" applyAlignment="1" pivotButton="0" quotePrefix="0" xfId="0">
      <alignment horizontal="right" vertical="center"/>
    </xf>
    <xf numFmtId="0" fontId="34" fillId="24" borderId="6" applyAlignment="1" pivotButton="0" quotePrefix="0" xfId="0">
      <alignment horizontal="center" vertical="center" wrapText="1"/>
    </xf>
    <xf numFmtId="0" fontId="34" fillId="24" borderId="6" applyAlignment="1" pivotButton="0" quotePrefix="0" xfId="0">
      <alignment horizontal="right" vertical="center"/>
    </xf>
    <xf numFmtId="0" fontId="28" fillId="22" borderId="6" applyAlignment="1" pivotButton="0" quotePrefix="0" xfId="0">
      <alignment horizontal="left" vertical="center" wrapText="1" indent="1"/>
    </xf>
    <xf numFmtId="0" fontId="28" fillId="23" borderId="6" applyAlignment="1" pivotButton="0" quotePrefix="0" xfId="0">
      <alignment horizontal="left" vertical="center" wrapText="1" indent="1"/>
    </xf>
    <xf numFmtId="0" fontId="35" fillId="0" borderId="0" applyAlignment="1" pivotButton="0" quotePrefix="0" xfId="0">
      <alignment horizontal="left" vertical="center" wrapText="1" indent="1"/>
    </xf>
    <xf numFmtId="0" fontId="36" fillId="22" borderId="6" applyAlignment="1" pivotButton="0" quotePrefix="0" xfId="0">
      <alignment horizontal="center" vertical="center" wrapText="1"/>
    </xf>
    <xf numFmtId="175" fontId="36" fillId="22" borderId="6" applyAlignment="1" pivotButton="0" quotePrefix="0" xfId="0">
      <alignment horizontal="center" vertical="center" wrapText="1"/>
    </xf>
    <xf numFmtId="164" fontId="36" fillId="22" borderId="6" applyAlignment="1" pivotButton="0" quotePrefix="0" xfId="0">
      <alignment horizontal="center" vertical="center" wrapText="1"/>
    </xf>
    <xf numFmtId="164" fontId="37" fillId="24" borderId="6" applyAlignment="1" pivotButton="0" quotePrefix="0" xfId="0">
      <alignment horizontal="center" vertical="center" wrapText="1"/>
    </xf>
    <xf numFmtId="176" fontId="37" fillId="19" borderId="6" applyAlignment="1" pivotButton="0" quotePrefix="0" xfId="0">
      <alignment horizontal="center" vertical="center" wrapText="1"/>
    </xf>
    <xf numFmtId="165" fontId="36" fillId="22" borderId="6" applyAlignment="1" pivotButton="0" quotePrefix="0" xfId="0">
      <alignment horizontal="center" vertical="center" wrapText="1"/>
    </xf>
    <xf numFmtId="0" fontId="36" fillId="25" borderId="6" applyAlignment="1" pivotButton="0" quotePrefix="0" xfId="0">
      <alignment horizontal="center" vertical="center" wrapText="1"/>
    </xf>
    <xf numFmtId="177" fontId="37" fillId="24" borderId="6" applyAlignment="1" pivotButton="0" quotePrefix="0" xfId="0">
      <alignment horizontal="center" vertical="center" wrapText="1"/>
    </xf>
    <xf numFmtId="177" fontId="36" fillId="24" borderId="6" applyAlignment="1" pivotButton="0" quotePrefix="0" xfId="0">
      <alignment horizontal="center" vertical="center" wrapText="1"/>
    </xf>
    <xf numFmtId="176" fontId="36" fillId="22" borderId="6" applyAlignment="1" pivotButton="0" quotePrefix="0" xfId="0">
      <alignment horizontal="center" vertical="center" wrapText="1"/>
    </xf>
    <xf numFmtId="178" fontId="36" fillId="25" borderId="6" applyAlignment="1" pivotButton="0" quotePrefix="0" xfId="0">
      <alignment horizontal="center" vertical="center" wrapText="1"/>
    </xf>
    <xf numFmtId="177" fontId="37" fillId="25" borderId="6" applyAlignment="1" pivotButton="0" quotePrefix="0" xfId="0">
      <alignment horizontal="center" vertical="center" wrapText="1"/>
    </xf>
    <xf numFmtId="0" fontId="35" fillId="23" borderId="6" applyAlignment="1" pivotButton="0" quotePrefix="0" xfId="0">
      <alignment horizontal="left" vertical="center" wrapText="1" indent="1"/>
    </xf>
    <xf numFmtId="0" fontId="35" fillId="22" borderId="6" applyAlignment="1" pivotButton="0" quotePrefix="0" xfId="0">
      <alignment horizontal="left" vertical="center" wrapText="1" indent="1"/>
    </xf>
    <xf numFmtId="0" fontId="35" fillId="0" borderId="6" applyAlignment="1" pivotButton="0" quotePrefix="0" xfId="0">
      <alignment horizontal="center" vertical="center" wrapText="1"/>
    </xf>
    <xf numFmtId="176" fontId="35" fillId="0" borderId="6" applyAlignment="1" pivotButton="0" quotePrefix="0" xfId="0">
      <alignment horizontal="center" vertical="center" wrapText="1"/>
    </xf>
    <xf numFmtId="164" fontId="35" fillId="0" borderId="6" applyAlignment="1" pivotButton="0" quotePrefix="0" xfId="0">
      <alignment horizontal="center" vertical="center" wrapText="1"/>
    </xf>
    <xf numFmtId="0" fontId="30" fillId="0" borderId="0" pivotButton="0" quotePrefix="0" xfId="0"/>
    <xf numFmtId="0" fontId="41" fillId="26" borderId="8" applyAlignment="1" pivotButton="0" quotePrefix="0" xfId="0">
      <alignment horizontal="center" vertical="center" wrapText="1"/>
    </xf>
    <xf numFmtId="0" fontId="38" fillId="18" borderId="7" applyAlignment="1" pivotButton="0" quotePrefix="0" xfId="0">
      <alignment horizontal="center" vertical="center" wrapText="1"/>
    </xf>
    <xf numFmtId="1" fontId="42" fillId="27" borderId="8" applyAlignment="1" pivotButton="0" quotePrefix="0" xfId="0">
      <alignment horizontal="center" vertical="center" wrapText="1"/>
    </xf>
    <xf numFmtId="165" fontId="42" fillId="27" borderId="8" applyAlignment="1" pivotButton="0" quotePrefix="0" xfId="0">
      <alignment horizontal="center" vertical="center" wrapText="1"/>
    </xf>
    <xf numFmtId="165" fontId="39" fillId="17" borderId="7" applyAlignment="1" pivotButton="0" quotePrefix="0" xfId="0">
      <alignment horizontal="center" vertical="center" wrapText="1"/>
    </xf>
    <xf numFmtId="0" fontId="40" fillId="25" borderId="7" applyAlignment="1" pivotButton="0" quotePrefix="0" xfId="0">
      <alignment horizontal="center" vertical="center" wrapText="1"/>
    </xf>
    <xf numFmtId="164" fontId="40" fillId="24" borderId="7" applyAlignment="1" pivotButton="0" quotePrefix="0" xfId="0">
      <alignment horizontal="center" vertical="center" wrapText="1"/>
    </xf>
    <xf numFmtId="164" fontId="39" fillId="22" borderId="7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top" wrapText="1" indent="1"/>
    </xf>
    <xf numFmtId="0" fontId="0" fillId="0" borderId="0" pivotButton="0" quotePrefix="0" xfId="0"/>
    <xf numFmtId="0" fontId="19" fillId="0" borderId="0" applyAlignment="1" pivotButton="0" quotePrefix="0" xfId="0">
      <alignment horizontal="left" vertical="center" indent="1"/>
    </xf>
    <xf numFmtId="0" fontId="20" fillId="14" borderId="0" applyAlignment="1" pivotButton="0" quotePrefix="0" xfId="0">
      <alignment horizontal="left" vertical="center" indent="1"/>
    </xf>
    <xf numFmtId="0" fontId="31" fillId="21" borderId="0" applyAlignment="1" pivotButton="0" quotePrefix="0" xfId="0">
      <alignment horizontal="left" vertical="center" indent="1"/>
    </xf>
    <xf numFmtId="0" fontId="33" fillId="0" borderId="0" applyAlignment="1" pivotButton="0" quotePrefix="0" xfId="0">
      <alignment horizontal="left" vertical="center" wrapText="1" indent="1"/>
    </xf>
    <xf numFmtId="0" fontId="30" fillId="0" borderId="0" applyAlignment="1" pivotButton="0" quotePrefix="0" xfId="0">
      <alignment horizontal="left" vertical="center" wrapText="1" indent="1"/>
    </xf>
    <xf numFmtId="0" fontId="32" fillId="19" borderId="0" applyAlignment="1" pivotButton="0" quotePrefix="0" xfId="0">
      <alignment horizontal="left" vertical="center" wrapText="1" indent="1"/>
    </xf>
    <xf numFmtId="0" fontId="32" fillId="22" borderId="0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left" vertical="center" wrapText="1" indent="1"/>
    </xf>
    <xf numFmtId="0" fontId="29" fillId="2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15" fillId="5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left" vertical="center"/>
    </xf>
    <xf numFmtId="0" fontId="26" fillId="0" borderId="0" pivotButton="0" quotePrefix="0" xfId="0"/>
    <xf numFmtId="175" fontId="36" fillId="22" borderId="6" applyAlignment="1" pivotButton="0" quotePrefix="0" xfId="0">
      <alignment horizontal="center" vertical="center" wrapText="1"/>
    </xf>
    <xf numFmtId="176" fontId="37" fillId="19" borderId="6" applyAlignment="1" pivotButton="0" quotePrefix="0" xfId="0">
      <alignment horizontal="center" vertical="center" wrapText="1"/>
    </xf>
    <xf numFmtId="177" fontId="37" fillId="24" borderId="6" applyAlignment="1" pivotButton="0" quotePrefix="0" xfId="0">
      <alignment horizontal="center" vertical="center" wrapText="1"/>
    </xf>
    <xf numFmtId="177" fontId="36" fillId="24" borderId="6" applyAlignment="1" pivotButton="0" quotePrefix="0" xfId="0">
      <alignment horizontal="center" vertical="center" wrapText="1"/>
    </xf>
    <xf numFmtId="176" fontId="36" fillId="22" borderId="6" applyAlignment="1" pivotButton="0" quotePrefix="0" xfId="0">
      <alignment horizontal="center" vertical="center" wrapText="1"/>
    </xf>
    <xf numFmtId="178" fontId="36" fillId="25" borderId="6" applyAlignment="1" pivotButton="0" quotePrefix="0" xfId="0">
      <alignment horizontal="center" vertical="center" wrapText="1"/>
    </xf>
    <xf numFmtId="177" fontId="37" fillId="25" borderId="6" applyAlignment="1" pivotButton="0" quotePrefix="0" xfId="0">
      <alignment horizontal="center" vertical="center" wrapText="1"/>
    </xf>
    <xf numFmtId="176" fontId="35" fillId="0" borderId="6" applyAlignment="1" pivotButton="0" quotePrefix="0" xfId="0">
      <alignment horizontal="center" vertical="center" wrapText="1"/>
    </xf>
    <xf numFmtId="171" fontId="23" fillId="16" borderId="5" applyAlignment="1" pivotButton="0" quotePrefix="0" xfId="0">
      <alignment horizontal="center" vertical="center" wrapText="1"/>
    </xf>
    <xf numFmtId="174" fontId="28" fillId="19" borderId="6" applyAlignment="1" pivotButton="0" quotePrefix="0" xfId="0">
      <alignment horizontal="center" vertical="center" wrapText="1"/>
    </xf>
    <xf numFmtId="168" fontId="17" fillId="8" borderId="3" applyAlignment="1" pivotButton="0" quotePrefix="0" xfId="0">
      <alignment horizontal="center" vertical="center" wrapText="1"/>
    </xf>
    <xf numFmtId="168" fontId="17" fillId="8" borderId="2" applyAlignment="1" pivotButton="0" quotePrefix="0" xfId="0">
      <alignment horizontal="center" vertical="center" wrapText="1"/>
    </xf>
    <xf numFmtId="169" fontId="17" fillId="7" borderId="2" applyAlignment="1" pivotButton="0" quotePrefix="0" xfId="0">
      <alignment horizontal="center" vertical="center" wrapText="1"/>
    </xf>
    <xf numFmtId="170" fontId="0" fillId="0" borderId="0" pivotButton="0" quotePrefix="0" xfId="0"/>
    <xf numFmtId="172" fontId="0" fillId="0" borderId="0" pivotButton="0" quotePrefix="0" xfId="2"/>
    <xf numFmtId="172" fontId="0" fillId="0" borderId="0" pivotButton="0" quotePrefix="0" xfId="0"/>
    <xf numFmtId="168" fontId="17" fillId="7" borderId="2" applyAlignment="1" pivotButton="0" quotePrefix="0" xfId="0">
      <alignment horizontal="center" vertical="center" wrapText="1"/>
    </xf>
    <xf numFmtId="174" fontId="0" fillId="0" borderId="0" pivotButton="0" quotePrefix="0" xfId="0"/>
    <xf numFmtId="167" fontId="10" fillId="0" borderId="0" pivotButton="0" quotePrefix="0" xfId="0"/>
    <xf numFmtId="167" fontId="9" fillId="0" borderId="0" pivotButton="0" quotePrefix="0" xfId="0"/>
    <xf numFmtId="173" fontId="0" fillId="0" borderId="0" pivotButton="0" quotePrefix="0" xfId="1"/>
    <xf numFmtId="167" fontId="11" fillId="0" borderId="0" pivotButton="0" quotePrefix="0" xfId="0"/>
    <xf numFmtId="0" fontId="44" fillId="0" borderId="0" pivotButton="0" quotePrefix="0" xfId="0"/>
    <xf numFmtId="0" fontId="0" fillId="0" borderId="0" applyAlignment="1" pivotButton="0" quotePrefix="0" xfId="0">
      <alignment vertical="top" wrapText="1"/>
    </xf>
    <xf numFmtId="0" fontId="45" fillId="0" borderId="0" pivotButton="0" quotePrefix="0" xfId="0"/>
    <xf numFmtId="0" fontId="46" fillId="28" borderId="0" pivotButton="0" quotePrefix="0" xfId="0"/>
    <xf numFmtId="0" fontId="45" fillId="29" borderId="0" applyAlignment="1" pivotButton="0" quotePrefix="0" xfId="0">
      <alignment vertical="top" wrapText="1"/>
    </xf>
    <xf numFmtId="0" fontId="0" fillId="29" borderId="0" applyAlignment="1" pivotButton="0" quotePrefix="0" xfId="0">
      <alignment vertical="top" wrapText="1"/>
    </xf>
    <xf numFmtId="0" fontId="45" fillId="30" borderId="0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0" fillId="29" borderId="0" pivotButton="0" quotePrefix="0" xfId="0"/>
    <xf numFmtId="0" fontId="0" fillId="30" borderId="0" pivotButton="0" quotePrefix="0" xfId="0"/>
    <xf numFmtId="10" fontId="0" fillId="0" borderId="0" pivotButton="0" quotePrefix="0" xfId="0"/>
    <xf numFmtId="0" fontId="47" fillId="28" borderId="0" applyAlignment="1" pivotButton="0" quotePrefix="0" xfId="0">
      <alignment vertical="top" wrapText="1"/>
    </xf>
    <xf numFmtId="0" fontId="0" fillId="31" borderId="0" applyAlignment="1" pivotButton="0" quotePrefix="0" xfId="0">
      <alignment vertical="top" wrapText="1"/>
    </xf>
    <xf numFmtId="179" fontId="0" fillId="31" borderId="0" applyAlignment="1" pivotButton="0" quotePrefix="0" xfId="0">
      <alignment vertical="top" wrapText="1"/>
    </xf>
    <xf numFmtId="180" fontId="0" fillId="31" borderId="0" applyAlignment="1" pivotButton="0" quotePrefix="0" xfId="0">
      <alignment vertical="top" wrapText="1"/>
    </xf>
    <xf numFmtId="4" fontId="0" fillId="31" borderId="0" applyAlignment="1" pivotButton="0" quotePrefix="0" xfId="0">
      <alignment vertical="top" wrapText="1"/>
    </xf>
    <xf numFmtId="0" fontId="0" fillId="32" borderId="0" applyAlignment="1" pivotButton="0" quotePrefix="0" xfId="0">
      <alignment vertical="top" wrapText="1"/>
    </xf>
    <xf numFmtId="179" fontId="0" fillId="32" borderId="0" applyAlignment="1" pivotButton="0" quotePrefix="0" xfId="0">
      <alignment vertical="top" wrapText="1"/>
    </xf>
    <xf numFmtId="180" fontId="0" fillId="32" borderId="0" applyAlignment="1" pivotButton="0" quotePrefix="0" xfId="0">
      <alignment vertical="top" wrapText="1"/>
    </xf>
    <xf numFmtId="4" fontId="0" fillId="32" borderId="0" applyAlignment="1" pivotButton="0" quotePrefix="0" xfId="0">
      <alignment vertical="top" wrapText="1"/>
    </xf>
    <xf numFmtId="179" fontId="0" fillId="31" borderId="0" applyAlignment="1" pivotButton="0" quotePrefix="0" xfId="0">
      <alignment vertical="top" wrapText="1"/>
    </xf>
    <xf numFmtId="180" fontId="0" fillId="31" borderId="0" applyAlignment="1" pivotButton="0" quotePrefix="0" xfId="0">
      <alignment vertical="top" wrapText="1"/>
    </xf>
    <xf numFmtId="179" fontId="0" fillId="32" borderId="0" applyAlignment="1" pivotButton="0" quotePrefix="0" xfId="0">
      <alignment vertical="top" wrapText="1"/>
    </xf>
    <xf numFmtId="180" fontId="0" fillId="32" borderId="0" applyAlignment="1" pivotButton="0" quotePrefix="0" xfId="0">
      <alignment vertical="top" wrapText="1"/>
    </xf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51" fillId="0" borderId="0" pivotButton="0" quotePrefix="0" xfId="0"/>
  </cellXfs>
  <cellStyles count="3">
    <cellStyle name="Standard" xfId="0" builtinId="0"/>
    <cellStyle name="Komma" xfId="1" builtinId="3"/>
    <cellStyle name="Währung" xfId="2" builtinId="4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8F5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9EAD3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D595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99"/>
  <sheetViews>
    <sheetView showGridLines="0" topLeftCell="A87" workbookViewId="0">
      <selection activeCell="B102" sqref="B102"/>
    </sheetView>
  </sheetViews>
  <sheetFormatPr baseColWidth="10" defaultColWidth="8.83203125" defaultRowHeight="15"/>
  <cols>
    <col width="2" customWidth="1" style="97" min="1" max="1"/>
    <col width="28" customWidth="1" style="97" min="2" max="2"/>
    <col width="34" customWidth="1" style="97" min="3" max="3"/>
    <col width="28" customWidth="1" style="97" min="4" max="4"/>
    <col width="14" customWidth="1" style="97" min="5" max="6"/>
  </cols>
  <sheetData>
    <row r="1" ht="40" customHeight="1" s="97">
      <c r="B1" s="106" t="inlineStr">
        <is>
          <t>Wie funktioniert dein Gehalt?</t>
        </is>
      </c>
    </row>
    <row r="2" ht="22" customHeight="1" s="97">
      <c r="B2" s="102" t="inlineStr">
        <is>
          <t>Schritt für Schritt: vom Mindestgehalt bis zur variablen Zulage.</t>
        </is>
      </c>
    </row>
    <row r="4" ht="28" customHeight="1" s="97">
      <c r="B4" s="100" t="inlineStr">
        <is>
          <t>1. Dein Gehalt besteht aus drei Teilen</t>
        </is>
      </c>
    </row>
    <row r="6" ht="22" customHeight="1" s="97">
      <c r="B6" s="105" t="inlineStr">
        <is>
          <t>A) Sockelgehalt</t>
        </is>
      </c>
    </row>
    <row r="7" ht="22" customHeight="1" s="97">
      <c r="B7" s="101" t="inlineStr">
        <is>
          <t>40.000 € pro Jahr bei Vollzeit (40 h/Woche). Bei Teilzeit anteilig (26 h = 26/40 × 40.000 = 26.000 €).</t>
        </is>
      </c>
    </row>
    <row r="9" ht="22" customHeight="1" s="97">
      <c r="B9" s="105" t="inlineStr">
        <is>
          <t>B) Bundle-Zulage (je nach Größe deines Teams)</t>
        </is>
      </c>
    </row>
    <row r="10" ht="22" customHeight="1" s="97">
      <c r="B10" s="101" t="inlineStr">
        <is>
          <t>Je mehr Therapeuten in deinem Bundle arbeiten, desto höher dein Gehalt.</t>
        </is>
      </c>
    </row>
    <row r="11" ht="35" customHeight="1" s="97">
      <c r="B11" s="101" t="inlineStr">
        <is>
          <t>Wir rechnen nicht nach Anzahl Köpfen, sondern nach Stunden: die gesamten Wochenstunden aller TH im Bundle geteilt durch 30 — weil 30 h der übliche Vacura-Schnitt für einen TH ist. So ergibt sich dein »TH-Äquivalent«.</t>
        </is>
      </c>
    </row>
    <row r="12" ht="22" customHeight="1" s="97">
      <c r="B12" s="102" t="inlineStr">
        <is>
          <t>Beispiel: 3 Therapeuten à 40 h + 2 à 30 h = 180 h ÷ 30 = 6 TH-Äquivalente.</t>
        </is>
      </c>
    </row>
    <row r="13" ht="22" customHeight="1" s="97">
      <c r="B13" s="101" t="inlineStr">
        <is>
          <t>Pro TH-Äquivalent bekommst du 250 € (für die ersten 4) bzw. 400 € (für 5–9) bzw. 700 € (ab 10) zusätzlich pro Jahr.</t>
        </is>
      </c>
    </row>
    <row r="15" ht="22" customHeight="1" s="97">
      <c r="B15" s="105" t="inlineStr">
        <is>
          <t>C) Variable Zulage</t>
        </is>
      </c>
    </row>
    <row r="16" ht="22" customHeight="1" s="97">
      <c r="B16" s="101" t="inlineStr">
        <is>
          <t>0 % bis 55 % Zulage auf dein Basis-Gehalt (= Sockel + Bundle-Zulage). Die 6 Stufen siehst du gleich in Abschnitt 2.</t>
        </is>
      </c>
    </row>
    <row r="18" ht="22" customHeight="1" s="97">
      <c r="B18" s="104" t="inlineStr">
        <is>
          <t>Beispiel-Rechnung für eine Vollzeit-PM (40 h/Wo) mit 8 TH-Äquivalenten im Bundle:</t>
        </is>
      </c>
    </row>
    <row r="19" ht="22" customHeight="1" s="97">
      <c r="B19" s="101" t="inlineStr">
        <is>
          <t>• Sockel: 40.000 €</t>
        </is>
      </c>
    </row>
    <row r="20" ht="22" customHeight="1" s="97">
      <c r="B20" s="101" t="inlineStr">
        <is>
          <t>• Bundle-Zulage (8 TH-Äqui → kumuliert 2.600 €): + 2.600 €   →   Basis = 42.600 €</t>
        </is>
      </c>
    </row>
    <row r="21" ht="22" customHeight="1" s="97">
      <c r="B21" s="105" t="inlineStr">
        <is>
          <t>• Bei Stufe 3 (+22 % variable Zulage): 42.600 € × 1,22 = 51.972 € pro Jahr = 4.331 € pro Monat</t>
        </is>
      </c>
    </row>
    <row r="23" ht="28" customHeight="1" s="97">
      <c r="B23" s="100" t="inlineStr">
        <is>
          <t>2. Die 6 Stufen im Überblick</t>
        </is>
      </c>
    </row>
    <row r="25" ht="22" customHeight="1" s="97">
      <c r="B25" s="102" t="inlineStr">
        <is>
          <t>Jede Stufe entspricht einer festen variablen Zulage auf dein Basis-Gehalt:</t>
        </is>
      </c>
    </row>
    <row r="27" ht="24" customHeight="1" s="97">
      <c r="B27" s="57" t="inlineStr">
        <is>
          <t>Stufe</t>
        </is>
      </c>
      <c r="C27" s="57" t="inlineStr">
        <is>
          <t>Name</t>
        </is>
      </c>
      <c r="D27" s="57" t="inlineStr">
        <is>
          <t>Zulage %</t>
        </is>
      </c>
      <c r="E27" s="57" t="inlineStr">
        <is>
          <t>Beispielgehalt Vollzeit, 8 TH</t>
        </is>
      </c>
    </row>
    <row r="28" ht="24" customHeight="1" s="97">
      <c r="B28" s="61" t="inlineStr">
        <is>
          <t>1</t>
        </is>
      </c>
      <c r="C28" s="61" t="inlineStr">
        <is>
          <t>Basis</t>
        </is>
      </c>
      <c r="D28" s="61" t="inlineStr">
        <is>
          <t>0 %</t>
        </is>
      </c>
      <c r="E28" s="62" t="inlineStr">
        <is>
          <t>42.600 €</t>
        </is>
      </c>
    </row>
    <row r="29" ht="24" customHeight="1" s="97">
      <c r="B29" s="63" t="inlineStr">
        <is>
          <t>2</t>
        </is>
      </c>
      <c r="C29" s="63" t="inlineStr">
        <is>
          <t>Gut</t>
        </is>
      </c>
      <c r="D29" s="63" t="inlineStr">
        <is>
          <t>11 %</t>
        </is>
      </c>
      <c r="E29" s="64" t="inlineStr">
        <is>
          <t>47.286 €</t>
        </is>
      </c>
    </row>
    <row r="30" ht="24" customHeight="1" s="97">
      <c r="B30" s="61" t="inlineStr">
        <is>
          <t>3</t>
        </is>
      </c>
      <c r="C30" s="61" t="inlineStr">
        <is>
          <t>Stark</t>
        </is>
      </c>
      <c r="D30" s="61" t="inlineStr">
        <is>
          <t>22 %</t>
        </is>
      </c>
      <c r="E30" s="62" t="inlineStr">
        <is>
          <t>51.972 €</t>
        </is>
      </c>
    </row>
    <row r="31" ht="24" customHeight="1" s="97">
      <c r="B31" s="63" t="inlineStr">
        <is>
          <t>4</t>
        </is>
      </c>
      <c r="C31" s="63" t="inlineStr">
        <is>
          <t>Sehr stark</t>
        </is>
      </c>
      <c r="D31" s="63" t="inlineStr">
        <is>
          <t>33 %</t>
        </is>
      </c>
      <c r="E31" s="64" t="inlineStr">
        <is>
          <t>56.658 €</t>
        </is>
      </c>
    </row>
    <row r="32" ht="24" customHeight="1" s="97">
      <c r="B32" s="61" t="inlineStr">
        <is>
          <t>5</t>
        </is>
      </c>
      <c r="C32" s="61" t="inlineStr">
        <is>
          <t>Exzellent</t>
        </is>
      </c>
      <c r="D32" s="61" t="inlineStr">
        <is>
          <t>44 %</t>
        </is>
      </c>
      <c r="E32" s="62" t="inlineStr">
        <is>
          <t>61.344 €</t>
        </is>
      </c>
    </row>
    <row r="33" ht="24" customHeight="1" s="97">
      <c r="B33" s="65" t="inlineStr">
        <is>
          <t>6</t>
        </is>
      </c>
      <c r="C33" s="65" t="inlineStr">
        <is>
          <t>Herausragend</t>
        </is>
      </c>
      <c r="D33" s="65" t="inlineStr">
        <is>
          <t>55 %</t>
        </is>
      </c>
      <c r="E33" s="66" t="inlineStr">
        <is>
          <t>66.030 €</t>
        </is>
      </c>
    </row>
    <row r="36" ht="28" customHeight="1" s="97">
      <c r="B36" s="100" t="inlineStr">
        <is>
          <t>3. Wie ergibt sich deine Stufe?</t>
        </is>
      </c>
    </row>
    <row r="38" ht="22" customHeight="1" s="97">
      <c r="B38" s="101" t="inlineStr">
        <is>
          <t>Deine Stufe steht, wenn zwei Sachen gleichzeitig stimmen:</t>
        </is>
      </c>
    </row>
    <row r="40" ht="22" customHeight="1" s="97">
      <c r="B40" s="105" t="inlineStr">
        <is>
          <t>Bedingung 1 — Wirtschaftlich:</t>
        </is>
      </c>
    </row>
    <row r="41" ht="22" customHeight="1" s="97">
      <c r="B41" s="101" t="inlineStr">
        <is>
          <t>Dein Bundle muss einen bestimmten Umsatz pro Therapie-Stunde erwirtschaften.</t>
        </is>
      </c>
    </row>
    <row r="42" ht="22" customHeight="1" s="97">
      <c r="B42" s="101" t="inlineStr">
        <is>
          <t>Zum Beispiel: Für Stufe 3 brauchst du ca. 73 €/Stunde, für Stufe 5 ca. 84 €/Stunde. Details dazu in Abschnitt 4.</t>
        </is>
      </c>
    </row>
    <row r="44" ht="22" customHeight="1" s="97">
      <c r="B44" s="105" t="inlineStr">
        <is>
          <t>Bedingung 2 — Teamzufriedenheit:</t>
        </is>
      </c>
    </row>
    <row r="45" ht="22" customHeight="1" s="97">
      <c r="B45" s="101" t="inlineStr">
        <is>
          <t>Dein Team muss in der anonymen Quartals-Umfrage einen bestimmten Zufriedenheits-Score erreichen (Skala 0–10).</t>
        </is>
      </c>
    </row>
    <row r="46" ht="22" customHeight="1" s="97">
      <c r="B46" s="101" t="inlineStr">
        <is>
          <t>Zum Beispiel: Stufe 3 braucht ≥ 7,0 — Stufe 5 braucht ≥ 8,5.</t>
        </is>
      </c>
    </row>
    <row r="48" ht="22" customHeight="1" s="97">
      <c r="B48" s="103" t="inlineStr">
        <is>
          <t>Beide Schwellen müssen erfüllt sein — nur wirtschaftlich stark ODER nur glückliches Team reicht nicht.</t>
        </is>
      </c>
    </row>
    <row r="50" ht="22" customHeight="1" s="97">
      <c r="B50" s="105" t="inlineStr">
        <is>
          <t>Die Schwellen pro Stufe:</t>
        </is>
      </c>
    </row>
    <row r="52" ht="22" customHeight="1" s="97">
      <c r="B52" s="57" t="inlineStr">
        <is>
          <t>Stufe</t>
        </is>
      </c>
      <c r="C52" s="57" t="inlineStr">
        <is>
          <t>€/60min Therapie (min.)</t>
        </is>
      </c>
      <c r="D52" s="57" t="inlineStr">
        <is>
          <t>Zufriedenheits-Score (min.)</t>
        </is>
      </c>
    </row>
    <row r="53" ht="22" customHeight="1" s="97">
      <c r="B53" s="63" t="inlineStr">
        <is>
          <t>1 Basis</t>
        </is>
      </c>
      <c r="C53" s="63" t="inlineStr">
        <is>
          <t>61,17 €</t>
        </is>
      </c>
      <c r="D53" s="63" t="inlineStr">
        <is>
          <t>5,0</t>
        </is>
      </c>
    </row>
    <row r="54" ht="22" customHeight="1" s="97">
      <c r="B54" s="61" t="inlineStr">
        <is>
          <t>2 Gut</t>
        </is>
      </c>
      <c r="C54" s="61" t="inlineStr">
        <is>
          <t>66,54 €</t>
        </is>
      </c>
      <c r="D54" s="61" t="inlineStr">
        <is>
          <t>6,0</t>
        </is>
      </c>
    </row>
    <row r="55" ht="22" customHeight="1" s="97">
      <c r="B55" s="63" t="inlineStr">
        <is>
          <t>3 Stark</t>
        </is>
      </c>
      <c r="C55" s="63" t="inlineStr">
        <is>
          <t>72,64 €</t>
        </is>
      </c>
      <c r="D55" s="63" t="inlineStr">
        <is>
          <t>7,0</t>
        </is>
      </c>
    </row>
    <row r="56" ht="22" customHeight="1" s="97">
      <c r="B56" s="61" t="inlineStr">
        <is>
          <t>4 Sehr stark</t>
        </is>
      </c>
      <c r="C56" s="61" t="inlineStr">
        <is>
          <t>77,28 €</t>
        </is>
      </c>
      <c r="D56" s="61" t="inlineStr">
        <is>
          <t>8,0</t>
        </is>
      </c>
    </row>
    <row r="57" ht="22" customHeight="1" s="97">
      <c r="B57" s="63" t="inlineStr">
        <is>
          <t>5 Exzellent</t>
        </is>
      </c>
      <c r="C57" s="63" t="inlineStr">
        <is>
          <t>84,11 €</t>
        </is>
      </c>
      <c r="D57" s="63" t="inlineStr">
        <is>
          <t>8,5</t>
        </is>
      </c>
    </row>
    <row r="58" ht="22" customHeight="1" s="97">
      <c r="B58" s="61" t="inlineStr">
        <is>
          <t>6 Herausragend</t>
        </is>
      </c>
      <c r="C58" s="61" t="inlineStr">
        <is>
          <t>89,48 €</t>
        </is>
      </c>
      <c r="D58" s="61" t="inlineStr">
        <is>
          <t>8,5</t>
        </is>
      </c>
    </row>
    <row r="61" ht="28" customHeight="1" s="97">
      <c r="B61" s="100" t="inlineStr">
        <is>
          <t>4. Was bedeutet »€/60min Therapie«?</t>
        </is>
      </c>
    </row>
    <row r="63" ht="22" customHeight="1" s="97">
      <c r="B63" s="101" t="inlineStr">
        <is>
          <t>Das ist der Wert, an dem deine Leistung gemessen wird.</t>
        </is>
      </c>
    </row>
    <row r="64" ht="22" customHeight="1" s="97">
      <c r="B64" s="101" t="inlineStr">
        <is>
          <t>Er sagt: Wie viel Umsatz macht dein Bundle durchschnittlich pro Stunde, in der ein TH tatsächlich arbeitet (also nicht im Urlaub oder in Fortbildung ist).</t>
        </is>
      </c>
    </row>
    <row r="66" ht="22" customHeight="1" s="97">
      <c r="B66" s="103" t="inlineStr">
        <is>
          <t>In einfachen Worten:</t>
        </is>
      </c>
    </row>
    <row r="67" ht="22" customHeight="1" s="97">
      <c r="B67" s="103" t="inlineStr">
        <is>
          <t>Gesamt-Umsatz deines Bundles im Quartal  ÷  alle verfügbaren Arbeitsstunden = €/60min</t>
        </is>
      </c>
    </row>
    <row r="69" ht="22" customHeight="1" s="97">
      <c r="B69" s="101" t="inlineStr">
        <is>
          <t>Verfügbare Arbeitsstunden = alle Vertragsstunden MINUS Urlaub, Fortbildung, Sonderurlaub.</t>
        </is>
      </c>
    </row>
    <row r="70" ht="22" customHeight="1" s="97">
      <c r="B70" s="101" t="inlineStr">
        <is>
          <t>Krankheit wird NICHT abgezogen — die ist schon als 10 %-Puffer im Modell einkalkuliert.</t>
        </is>
      </c>
    </row>
    <row r="72" ht="22" customHeight="1" s="97">
      <c r="B72" s="102" t="inlineStr">
        <is>
          <t>Zum Einordnen: Ein 60-min-GKV-Termin bringt ca. 95 €. Weil zwischen Terminen Zeit für Doku/Pausen bezahlt ist, liegt der Schnitt darunter.</t>
        </is>
      </c>
    </row>
    <row r="75" ht="28" customHeight="1" s="97">
      <c r="B75" s="100" t="inlineStr">
        <is>
          <t>5. Wie kommst du zur nächsten Stufe?</t>
        </is>
      </c>
    </row>
    <row r="77" ht="22" customHeight="1" s="97">
      <c r="B77" s="101" t="inlineStr">
        <is>
          <t>Drei Hebel, um den €/60min nach oben zu bekommen:</t>
        </is>
      </c>
    </row>
    <row r="78" ht="22" customHeight="1" s="97">
      <c r="B78" s="102" t="inlineStr">
        <is>
          <t>Hinweis: die Effekte sind Orientierungswerte (grobe Rechnung), keine exakt vorhergesagten Zahlen.</t>
        </is>
      </c>
    </row>
    <row r="80" ht="34" customHeight="1" s="97">
      <c r="B80" s="57" t="inlineStr">
        <is>
          <t>Hebel</t>
        </is>
      </c>
      <c r="C80" s="57" t="inlineStr">
        <is>
          <t>Was machst du konkret?</t>
        </is>
      </c>
      <c r="D80" s="57" t="inlineStr">
        <is>
          <t>Grober Effekt</t>
        </is>
      </c>
    </row>
    <row r="81" ht="34" customHeight="1" s="97">
      <c r="B81" s="67" t="inlineStr">
        <is>
          <t>Mehr Termine pro Woche</t>
        </is>
      </c>
      <c r="C81" s="67" t="inlineStr">
        <is>
          <t>Auslastung erhöhen, neue Patienten gewinnen, Slots besser nutzen</t>
        </is>
      </c>
      <c r="D81" s="67" t="inlineStr">
        <is>
          <t>+10 Termine/Wo → ca. +3 % Umsatz</t>
        </is>
      </c>
    </row>
    <row r="82" ht="34" customHeight="1" s="97">
      <c r="B82" s="68" t="inlineStr">
        <is>
          <t>Höherer PKV-Anteil</t>
        </is>
      </c>
      <c r="C82" s="68" t="inlineStr">
        <is>
          <t>Privatpatienten aktiv ansprechen (PKV zahlt 1,7× den GKV-Tarif)</t>
        </is>
      </c>
      <c r="D82" s="68" t="inlineStr">
        <is>
          <t>+1 %-Pkt PKV → ca. +0,7 % Umsatz</t>
        </is>
      </c>
    </row>
    <row r="83" ht="34" customHeight="1" s="97">
      <c r="B83" s="67" t="inlineStr">
        <is>
          <t>Krankenstand senken</t>
        </is>
      </c>
      <c r="C83" s="67" t="inlineStr">
        <is>
          <t>Team-Gesundheit, gute Urlaubsplanung, keine Ansteckungsketten</t>
        </is>
      </c>
      <c r="D83" s="67" t="inlineStr">
        <is>
          <t>−1 %-Pkt Krank → ca. +0,5 % Umsatz</t>
        </is>
      </c>
    </row>
    <row r="85" ht="22" customHeight="1" s="97">
      <c r="B85" s="102" t="inlineStr">
        <is>
          <t>Plus: Team-Zufriedenheits-Score hoch halten — ohne den bringt dir der beste Leistungsindex nichts.</t>
        </is>
      </c>
    </row>
    <row r="87" ht="28" customHeight="1" s="97">
      <c r="B87" s="100" t="inlineStr">
        <is>
          <t>6. Spezial-Regeln</t>
        </is>
      </c>
    </row>
    <row r="89" ht="22" customHeight="1" s="97">
      <c r="B89" s="105" t="inlineStr">
        <is>
          <t>Probezeit (erste 6 Monate):</t>
        </is>
      </c>
    </row>
    <row r="90" ht="22" customHeight="1" s="97">
      <c r="B90" s="101" t="inlineStr">
        <is>
          <t>Stufe ist fix auf 1 (Basis), Bundle-Zulage zählt nicht, Gehalt = Mindestgehalt. Nach 180 Tagen greift das Stufensystem.</t>
        </is>
      </c>
    </row>
    <row r="92" ht="22" customHeight="1" s="97">
      <c r="B92" s="105" t="inlineStr">
        <is>
          <t>Max ±1 Stufenwechsel pro Quartal:</t>
        </is>
      </c>
    </row>
    <row r="93" ht="22" customHeight="1" s="97">
      <c r="B93" s="101" t="inlineStr">
        <is>
          <t>Auch bei perfekter Performance kannst du pro Quartal nur eine Stufe steigen. Ein Abstieg ist auf −1 Stufe begrenzt.</t>
        </is>
      </c>
    </row>
    <row r="95" ht="22" customHeight="1" s="97">
      <c r="B95" s="105" t="inlineStr">
        <is>
          <t>Neuanfänger (neue TH im Bundle):</t>
        </is>
      </c>
    </row>
    <row r="96" ht="22" customHeight="1" s="97">
      <c r="B96" s="101" t="inlineStr">
        <is>
          <t>Frisch eingestellte TH zählen erst ab dem 29. Tag ihres Arbeitsverhältnisses — damit ihre Einarbeitung deinen €/60min-Wert nicht drückt.</t>
        </is>
      </c>
    </row>
    <row r="97" ht="51" customHeight="1" s="97"/>
    <row r="98" ht="22" customHeight="1" s="97">
      <c r="B98" s="105" t="n"/>
    </row>
    <row r="99" ht="22" customHeight="1" s="97">
      <c r="B99" s="101" t="n"/>
    </row>
  </sheetData>
  <mergeCells count="49">
    <mergeCell ref="B4:F4"/>
    <mergeCell ref="B75:F75"/>
    <mergeCell ref="B7:F7"/>
    <mergeCell ref="B16:F16"/>
    <mergeCell ref="B72:F72"/>
    <mergeCell ref="B90:F90"/>
    <mergeCell ref="B25:F25"/>
    <mergeCell ref="B66:F66"/>
    <mergeCell ref="B46:F46"/>
    <mergeCell ref="B93:F93"/>
    <mergeCell ref="B18:F18"/>
    <mergeCell ref="B96:F96"/>
    <mergeCell ref="B70:F70"/>
    <mergeCell ref="B21:F21"/>
    <mergeCell ref="B12:F12"/>
    <mergeCell ref="B77:F77"/>
    <mergeCell ref="B2:F2"/>
    <mergeCell ref="B48:F48"/>
    <mergeCell ref="B11:F11"/>
    <mergeCell ref="B42:F42"/>
    <mergeCell ref="B98:F98"/>
    <mergeCell ref="B67:F67"/>
    <mergeCell ref="B23:F23"/>
    <mergeCell ref="B61:F61"/>
    <mergeCell ref="B1:F1"/>
    <mergeCell ref="B13:F13"/>
    <mergeCell ref="B44:F44"/>
    <mergeCell ref="B69:F69"/>
    <mergeCell ref="B87:F87"/>
    <mergeCell ref="B38:F38"/>
    <mergeCell ref="B78:F78"/>
    <mergeCell ref="B10:F10"/>
    <mergeCell ref="B19:F19"/>
    <mergeCell ref="B99:F99"/>
    <mergeCell ref="B40:F40"/>
    <mergeCell ref="B9:F9"/>
    <mergeCell ref="B92:F92"/>
    <mergeCell ref="B6:F6"/>
    <mergeCell ref="B20:F20"/>
    <mergeCell ref="B15:F15"/>
    <mergeCell ref="B64:F64"/>
    <mergeCell ref="B89:F89"/>
    <mergeCell ref="B95:F95"/>
    <mergeCell ref="B45:F45"/>
    <mergeCell ref="B63:F63"/>
    <mergeCell ref="B85:F85"/>
    <mergeCell ref="B36:F36"/>
    <mergeCell ref="B50:F50"/>
    <mergeCell ref="B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style="97" min="1" max="1"/>
    <col width="40" customWidth="1" style="97" min="2" max="2"/>
    <col width="35" customWidth="1" style="97" min="3" max="3"/>
    <col width="22" customWidth="1" style="97" min="4" max="4"/>
    <col width="60" customWidth="1" style="97" min="5" max="5"/>
  </cols>
  <sheetData>
    <row r="1">
      <c r="A1" s="136" t="inlineStr">
        <is>
          <t>📋 Anleitung Quartalswechsel — Was tun, wenn ein Quartal endet?</t>
        </is>
      </c>
    </row>
    <row r="3" ht="30" customHeight="1" s="97">
      <c r="A3" s="137" t="inlineStr">
        <is>
          <t>Diese Anleitung beschreibt die manuellen Schritte, die nach jedem Quartals-Ende notwendig sind, damit die PM-Bewertung für das Folge-Quartal greift.</t>
        </is>
      </c>
    </row>
    <row r="5">
      <c r="A5" s="138" t="inlineStr">
        <is>
          <t>Zeitpunkt: spätestens 5. Tag des Folge-Monats (also 5.7., 5.10., 5.1., 5.4.)</t>
        </is>
      </c>
    </row>
    <row r="7">
      <c r="A7" s="139" t="inlineStr">
        <is>
          <t>Schritt</t>
        </is>
      </c>
      <c r="B7" s="139" t="inlineStr">
        <is>
          <t>Was</t>
        </is>
      </c>
      <c r="C7" s="139" t="inlineStr">
        <is>
          <t>Wo eintragen</t>
        </is>
      </c>
      <c r="D7" s="139" t="inlineStr">
        <is>
          <t>Wer</t>
        </is>
      </c>
      <c r="E7" s="139" t="inlineStr">
        <is>
          <t>Warum / Hinweis</t>
        </is>
      </c>
    </row>
    <row r="8" ht="75" customHeight="1" s="97">
      <c r="A8" s="140" t="inlineStr">
        <is>
          <t>1</t>
        </is>
      </c>
      <c r="B8" s="141" t="inlineStr">
        <is>
          <t>Zufriedenheits-Scores aus Q-Umfrage eintragen</t>
        </is>
      </c>
      <c r="C8" s="141" t="inlineStr">
        <is>
          <t>Tab "Daten" — Spalten 11 (Rücken), 12 (Komm), 13 (eNPS)</t>
        </is>
      </c>
      <c r="D8" s="141" t="inlineStr">
        <is>
          <t>Du (Geschäftsführung)</t>
        </is>
      </c>
      <c r="E8" s="141" t="inlineStr">
        <is>
          <t>Aus quartalsweiser Umfrage (anonym, ≥60% Teilnahme). Formel: Score = 0,2×Rücken + 0,2×Komm + 0,6×eNPS. Ohne diese Werte ist die Stufen-Bewertung unvollständig.</t>
        </is>
      </c>
    </row>
    <row r="9" ht="75" customHeight="1" s="97">
      <c r="A9" s="140" t="inlineStr">
        <is>
          <t>2</t>
        </is>
      </c>
      <c r="B9" s="141" t="inlineStr">
        <is>
          <t>MediFox-IST-Werte als Sanity-Check eintragen</t>
        </is>
      </c>
      <c r="C9" s="141" t="inlineStr">
        <is>
          <t>Tab "Sanity (MediFox)" — pro Bundle eine Zeile</t>
        </is>
      </c>
      <c r="D9" s="141" t="inlineStr">
        <is>
          <t>Du (Geschäftsführung)</t>
        </is>
      </c>
      <c r="E9" s="141" t="inlineStr">
        <is>
          <t>MediFox-Export pro Standort/Monat, Summen über Q. Wird automatisch mit NocoDB-IST verglichen — Diff &gt; 2 % bedeutet Untersuchung nötig.</t>
        </is>
      </c>
    </row>
    <row r="10" ht="75" customHeight="1" s="97">
      <c r="A10" s="142" t="inlineStr">
        <is>
          <t>3</t>
        </is>
      </c>
      <c r="B10" s="143" t="inlineStr">
        <is>
          <t>Q-End-Berechnung anstoßen</t>
        </is>
      </c>
      <c r="C10" s="143" t="inlineStr">
        <is>
          <t>Routine läuft automatisch am 1. des Folge-Monats</t>
        </is>
      </c>
      <c r="D10" s="143" t="inlineStr">
        <is>
          <t>Code (Routine-Agent)</t>
        </is>
      </c>
      <c r="E10" s="143" t="inlineStr">
        <is>
          <t>compute_quartal() rechnet für jedes Bundle: IST, Vstd, Abw, Feiertage, eur60, rechn_stufe und tats_stufe (mit ±1-Deckel). Werte werden ins Tab "Audit Q&lt;N&gt;" geschrieben.</t>
        </is>
      </c>
    </row>
    <row r="11" ht="75" customHeight="1" s="97">
      <c r="A11" s="140" t="inlineStr">
        <is>
          <t>4</t>
        </is>
      </c>
      <c r="B11" s="141" t="inlineStr">
        <is>
          <t>Stufe Vorquartal manuell updaten</t>
        </is>
      </c>
      <c r="C11" s="141" t="inlineStr">
        <is>
          <t>Tab "Daten" — Spalte 5 ("Stufe Vorquartal") pro PM</t>
        </is>
      </c>
      <c r="D11" s="141" t="inlineStr">
        <is>
          <t>Du (Geschäftsführung) ODER Routine</t>
        </is>
      </c>
      <c r="E11" s="141" t="inlineStr">
        <is>
          <t>Die tats_stufe aus dem Audit-Tab wird zur "Stufe Vorquartal" für die nächste Bewertung — wichtig für den ±1-Deckel. Wenn falsch, kann eine PM rechnerisch Stufe 4 sein aber wegen falschem Vorquartals-Wert auf Stufe 1 gedeckelt werden.</t>
        </is>
      </c>
    </row>
    <row r="12" ht="75" customHeight="1" s="97">
      <c r="A12" s="142" t="inlineStr">
        <is>
          <t>5</t>
        </is>
      </c>
      <c r="B12" s="143" t="inlineStr">
        <is>
          <t>Dashboards regenerieren + deployen</t>
        </is>
      </c>
      <c r="C12" s="143" t="inlineStr">
        <is>
          <t>GitHub Action "Regenerate PM Dashboards" manuell triggern</t>
        </is>
      </c>
      <c r="D12" s="143" t="inlineStr">
        <is>
          <t>Code (Routine-Agent)</t>
        </is>
      </c>
      <c r="E12" s="143" t="inlineStr">
        <is>
          <t>Nach Excel-Update werden die HTML-Dashboards mit Q-Final-Werten neu gebaut und auf GitHub Pages deployed. PMs sehen dann ihre offizielle Q-Bewertung.</t>
        </is>
      </c>
    </row>
    <row r="13" ht="75" customHeight="1" s="97">
      <c r="A13" s="140" t="inlineStr">
        <is>
          <t>6</t>
        </is>
      </c>
      <c r="B13" s="141" t="inlineStr">
        <is>
          <t>Plausibilitäts-Check + Freigabe</t>
        </is>
      </c>
      <c r="C13" s="141" t="inlineStr">
        <is>
          <t>Audit-Tab durchgehen, Diff zu MediFox prüfen</t>
        </is>
      </c>
      <c r="D13" s="141" t="inlineStr">
        <is>
          <t>Du (Geschäftsführung)</t>
        </is>
      </c>
      <c r="E13" s="141" t="inlineStr">
        <is>
          <t>Wenn Audit-Werte plausibel und MediFox-Diff &lt; 2 %: Q-Bewertung gilt als final, Gehälter werden für das Folge-Quartal angepasst. Sonst: Ursache klären, Werte ggf. nachbessern.</t>
        </is>
      </c>
    </row>
    <row r="15">
      <c r="A15" s="138" t="inlineStr">
        <is>
          <t>Legende:</t>
        </is>
      </c>
    </row>
    <row r="16">
      <c r="A16" s="144" t="inlineStr">
        <is>
          <t>Gelb = manuelle Aktion durch Geschäftsführung</t>
        </is>
      </c>
    </row>
    <row r="17">
      <c r="A17" s="145" t="inlineStr">
        <is>
          <t>Grün = automatisch durch Code/Routine</t>
        </is>
      </c>
    </row>
    <row r="20">
      <c r="A20" s="138" t="inlineStr">
        <is>
          <t>Detaillierte Berechnungsmethodik</t>
        </is>
      </c>
      <c r="B20" t="inlineStr">
        <is>
          <t>Code-Repo: pm-dashboards/v2/METHODE.md</t>
        </is>
      </c>
    </row>
  </sheetData>
  <mergeCells count="5">
    <mergeCell ref="A16:E16"/>
    <mergeCell ref="A1:E1"/>
    <mergeCell ref="A5:E5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style="97" min="1" max="1"/>
    <col width="32" customWidth="1" style="97" min="2" max="2"/>
    <col width="14" customWidth="1" style="97" min="3" max="3"/>
    <col width="16" customWidth="1" style="97" min="4" max="4"/>
    <col width="14" customWidth="1" style="97" min="5" max="5"/>
    <col width="12" customWidth="1" style="97" min="6" max="6"/>
    <col width="14" customWidth="1" style="97" min="7" max="7"/>
    <col width="12" customWidth="1" style="97" min="8" max="8"/>
    <col width="10" customWidth="1" style="97" min="9" max="9"/>
    <col width="11" customWidth="1" style="97" min="10" max="10"/>
    <col width="15" customWidth="1" style="97" min="11" max="11"/>
    <col width="14" customWidth="1" style="97" min="12" max="12"/>
    <col width="12" customWidth="1" style="97" min="13" max="13"/>
    <col width="10" customWidth="1" style="97" min="14" max="14"/>
    <col width="12" customWidth="1" style="97" min="15" max="15"/>
    <col width="35" customWidth="1" style="97" min="16" max="16"/>
  </cols>
  <sheetData>
    <row r="1">
      <c r="A1" s="136" t="inlineStr">
        <is>
          <t>📋 Audit Q1 2026</t>
        </is>
      </c>
    </row>
    <row r="3" ht="45" customHeight="1" s="97">
      <c r="A3" s="137" t="inlineStr">
        <is>
          <t>Q1 2026 ist HISTORISCH EINGEFROREN. Diese Werte wurden manuell ins Excel eingetragen (Daten-Tab Spalten 7-10) und gelten als Bewertungsgrundlage für das Folgequartal Q2. Bitte NICHT ändern — falls Werte korrigiert werden müssen, beide Stellen synchron halten (Daten-Tab + dieses Audit-Sheet).</t>
        </is>
      </c>
    </row>
    <row r="5">
      <c r="A5" s="138" t="inlineStr">
        <is>
          <t>Quartals-Fenster: 2026-01-01 bis 2026-03-31</t>
        </is>
      </c>
    </row>
    <row r="7" ht="32" customHeight="1" s="97">
      <c r="A7" s="147" t="inlineStr">
        <is>
          <t>PM</t>
        </is>
      </c>
      <c r="B7" s="147" t="inlineStr">
        <is>
          <t>Bundle (Standorte)</t>
        </is>
      </c>
      <c r="C7" s="147" t="inlineStr">
        <is>
          <t>Vstd brutto (Bundle)</t>
        </is>
      </c>
      <c r="D7" s="147" t="inlineStr">
        <is>
          <t>Vstd ber (Stufen-Basis)</t>
        </is>
      </c>
      <c r="E7" s="147" t="inlineStr">
        <is>
          <t>Abw ber (Stufen-Basis)</t>
        </is>
      </c>
      <c r="F7" s="147" t="inlineStr">
        <is>
          <t>Feiertage h</t>
        </is>
      </c>
      <c r="G7" s="147" t="inlineStr">
        <is>
          <t>IST (€)</t>
        </is>
      </c>
      <c r="H7" s="147" t="inlineStr">
        <is>
          <t>Verfueg h</t>
        </is>
      </c>
      <c r="I7" s="147" t="inlineStr">
        <is>
          <t>€/h</t>
        </is>
      </c>
      <c r="J7" s="147" t="inlineStr">
        <is>
          <t>Zufr-Score</t>
        </is>
      </c>
      <c r="K7" s="147" t="inlineStr">
        <is>
          <t>Rechn. Stufe (ohne ±1)</t>
        </is>
      </c>
      <c r="L7" s="147" t="inlineStr">
        <is>
          <t>Tats. Stufe (mit ±1)</t>
        </is>
      </c>
      <c r="M7" s="147" t="inlineStr">
        <is>
          <t>Probezeit aktiv?</t>
        </is>
      </c>
      <c r="N7" s="147" t="inlineStr">
        <is>
          <t>Anzahl TH</t>
        </is>
      </c>
      <c r="O7" s="147" t="inlineStr">
        <is>
          <t>Termine erbracht</t>
        </is>
      </c>
      <c r="P7" s="147" t="inlineStr">
        <is>
          <t>Stand / Notizen</t>
        </is>
      </c>
    </row>
    <row r="8" ht="22" customHeight="1" s="97">
      <c r="A8" s="148" t="inlineStr">
        <is>
          <t>Laura</t>
        </is>
      </c>
      <c r="B8" s="148" t="inlineStr">
        <is>
          <t>Spandau, Mitte</t>
        </is>
      </c>
      <c r="C8" s="156" t="n">
        <v>4924</v>
      </c>
      <c r="D8" s="156" t="n">
        <v>4686.3</v>
      </c>
      <c r="E8" s="156" t="n">
        <v>554.8</v>
      </c>
      <c r="F8" s="156" t="inlineStr">
        <is>
          <t>—</t>
        </is>
      </c>
      <c r="G8" s="157" t="n">
        <v>291941</v>
      </c>
      <c r="H8" s="156" t="n">
        <v>4131.5</v>
      </c>
      <c r="I8" s="151" t="n">
        <v>70.66222921457098</v>
      </c>
      <c r="J8" s="151" t="n">
        <v>8.52</v>
      </c>
      <c r="K8" s="148" t="n">
        <v>2</v>
      </c>
      <c r="L8" s="148" t="n">
        <v>2</v>
      </c>
      <c r="M8" s="148" t="inlineStr">
        <is>
          <t>Nein</t>
        </is>
      </c>
      <c r="N8" s="148" t="inlineStr">
        <is>
          <t>—</t>
        </is>
      </c>
      <c r="O8" s="148" t="inlineStr">
        <is>
          <t>—</t>
        </is>
      </c>
      <c r="P8" s="148" t="inlineStr">
        <is>
          <t>Excel-Daten-Tab Spalten 7-10, alte Methode (kein konsistenter NA-29T-Abzug, keine Feiertage)</t>
        </is>
      </c>
    </row>
    <row r="9" ht="22" customHeight="1" s="97">
      <c r="A9" s="148" t="inlineStr">
        <is>
          <t>Marleen</t>
        </is>
      </c>
      <c r="B9" s="148" t="inlineStr">
        <is>
          <t>Friedrichshain, Charlottenburg, Prenzlauer Berg</t>
        </is>
      </c>
      <c r="C9" s="156" t="n">
        <v>5665.2</v>
      </c>
      <c r="D9" s="156" t="n">
        <v>5343.5</v>
      </c>
      <c r="E9" s="156" t="n">
        <v>293.5</v>
      </c>
      <c r="F9" s="156" t="inlineStr">
        <is>
          <t>—</t>
        </is>
      </c>
      <c r="G9" s="157" t="n">
        <v>337924</v>
      </c>
      <c r="H9" s="156" t="n">
        <v>5050</v>
      </c>
      <c r="I9" s="151" t="n">
        <v>66.91564356435643</v>
      </c>
      <c r="J9" s="151" t="n">
        <v>8.24</v>
      </c>
      <c r="K9" s="148" t="n">
        <v>2</v>
      </c>
      <c r="L9" s="148" t="n">
        <v>2</v>
      </c>
      <c r="M9" s="148" t="inlineStr">
        <is>
          <t>Nein</t>
        </is>
      </c>
      <c r="N9" s="148" t="inlineStr">
        <is>
          <t>—</t>
        </is>
      </c>
      <c r="O9" s="148" t="inlineStr">
        <is>
          <t>—</t>
        </is>
      </c>
      <c r="P9" s="148" t="inlineStr">
        <is>
          <t>Excel-Daten-Tab Spalten 7-10, alte Methode (kein konsistenter NA-29T-Abzug, keine Feiertage)</t>
        </is>
      </c>
    </row>
    <row r="10" ht="22" customHeight="1" s="97">
      <c r="A10" s="148" t="inlineStr">
        <is>
          <t>Luise</t>
        </is>
      </c>
      <c r="B10" s="148" t="inlineStr">
        <is>
          <t>Friedrichshain, Charlottenburg, Prenzlauer Berg</t>
        </is>
      </c>
      <c r="C10" s="156" t="n">
        <v>5665.2</v>
      </c>
      <c r="D10" s="156" t="n">
        <v>5343.5</v>
      </c>
      <c r="E10" s="156" t="n">
        <v>293.5</v>
      </c>
      <c r="F10" s="156" t="inlineStr">
        <is>
          <t>—</t>
        </is>
      </c>
      <c r="G10" s="157" t="n">
        <v>337924</v>
      </c>
      <c r="H10" s="156" t="n">
        <v>5050</v>
      </c>
      <c r="I10" s="151" t="n">
        <v>66.91564356435643</v>
      </c>
      <c r="J10" s="151" t="n">
        <v>3.44</v>
      </c>
      <c r="K10" s="148" t="n">
        <v>1</v>
      </c>
      <c r="L10" s="148" t="n">
        <v>1</v>
      </c>
      <c r="M10" s="148" t="inlineStr">
        <is>
          <t>Ja</t>
        </is>
      </c>
      <c r="N10" s="148" t="inlineStr">
        <is>
          <t>—</t>
        </is>
      </c>
      <c r="O10" s="148" t="inlineStr">
        <is>
          <t>—</t>
        </is>
      </c>
      <c r="P10" s="148" t="inlineStr">
        <is>
          <t>Excel-Daten-Tab Spalten 7-10, alte Methode (kein konsistenter NA-29T-Abzug, keine Feiertage)</t>
        </is>
      </c>
    </row>
    <row r="11" ht="22" customHeight="1" s="97">
      <c r="A11" s="148" t="inlineStr">
        <is>
          <t>Max</t>
        </is>
      </c>
      <c r="B11" s="148" t="inlineStr">
        <is>
          <t>Spandau, Mitte</t>
        </is>
      </c>
      <c r="C11" s="156" t="n">
        <v>4924</v>
      </c>
      <c r="D11" s="156" t="n">
        <v>4686.3</v>
      </c>
      <c r="E11" s="156" t="n">
        <v>554.8</v>
      </c>
      <c r="F11" s="156" t="inlineStr">
        <is>
          <t>—</t>
        </is>
      </c>
      <c r="G11" s="157" t="n">
        <v>291941</v>
      </c>
      <c r="H11" s="156" t="n">
        <v>4131.5</v>
      </c>
      <c r="I11" s="151" t="n">
        <v>70.66222921457098</v>
      </c>
      <c r="J11" s="151" t="n">
        <v>8.540000000000001</v>
      </c>
      <c r="K11" s="148" t="n">
        <v>1</v>
      </c>
      <c r="L11" s="148" t="n">
        <v>1</v>
      </c>
      <c r="M11" s="148" t="inlineStr">
        <is>
          <t>Ja</t>
        </is>
      </c>
      <c r="N11" s="148" t="inlineStr">
        <is>
          <t>—</t>
        </is>
      </c>
      <c r="O11" s="148" t="inlineStr">
        <is>
          <t>—</t>
        </is>
      </c>
      <c r="P11" s="148" t="inlineStr">
        <is>
          <t>Excel-Daten-Tab Spalten 7-10, alte Methode (kein konsistenter NA-29T-Abzug, keine Feiertage)</t>
        </is>
      </c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style="97" min="1" max="1"/>
    <col width="32" customWidth="1" style="97" min="2" max="2"/>
    <col width="14" customWidth="1" style="97" min="3" max="3"/>
    <col width="16" customWidth="1" style="97" min="4" max="4"/>
    <col width="14" customWidth="1" style="97" min="5" max="5"/>
    <col width="12" customWidth="1" style="97" min="6" max="6"/>
    <col width="14" customWidth="1" style="97" min="7" max="7"/>
    <col width="12" customWidth="1" style="97" min="8" max="8"/>
    <col width="10" customWidth="1" style="97" min="9" max="9"/>
    <col width="11" customWidth="1" style="97" min="10" max="10"/>
    <col width="15" customWidth="1" style="97" min="11" max="11"/>
    <col width="14" customWidth="1" style="97" min="12" max="12"/>
    <col width="12" customWidth="1" style="97" min="13" max="13"/>
    <col width="10" customWidth="1" style="97" min="14" max="14"/>
    <col width="12" customWidth="1" style="97" min="15" max="15"/>
    <col width="35" customWidth="1" style="97" min="16" max="16"/>
  </cols>
  <sheetData>
    <row r="1">
      <c r="A1" s="136" t="inlineStr">
        <is>
          <t>📋 Audit Q2 2026</t>
        </is>
      </c>
    </row>
    <row r="3" ht="45" customHeight="1" s="97">
      <c r="A3" s="137" t="inlineStr">
        <is>
          <t>Q2 2026 wird AUTOMATISCH durch die Q-End-Routine befüllt (am 1.7.2026). Die Routine ruft compute_quartal(pm, 2026-04-01, 2026-06-30, today=2026-06-30) auf und schreibt die Werte hier rein. Dieses Sheet ist nach dem Q-End-Lauf die offizielle Bewertungsgrundlage für Q3 2026.</t>
        </is>
      </c>
    </row>
    <row r="5">
      <c r="A5" s="138" t="inlineStr">
        <is>
          <t>Quartals-Fenster: 2026-04-01 bis 2026-06-30</t>
        </is>
      </c>
    </row>
    <row r="7" ht="32" customHeight="1" s="97">
      <c r="A7" s="147" t="inlineStr">
        <is>
          <t>PM</t>
        </is>
      </c>
      <c r="B7" s="147" t="inlineStr">
        <is>
          <t>Bundle (Standorte)</t>
        </is>
      </c>
      <c r="C7" s="147" t="inlineStr">
        <is>
          <t>Vstd brutto (Bundle)</t>
        </is>
      </c>
      <c r="D7" s="147" t="inlineStr">
        <is>
          <t>Vstd ber (Stufen-Basis)</t>
        </is>
      </c>
      <c r="E7" s="147" t="inlineStr">
        <is>
          <t>Abw ber (Stufen-Basis)</t>
        </is>
      </c>
      <c r="F7" s="147" t="inlineStr">
        <is>
          <t>Feiertage h</t>
        </is>
      </c>
      <c r="G7" s="147" t="inlineStr">
        <is>
          <t>IST (€)</t>
        </is>
      </c>
      <c r="H7" s="147" t="inlineStr">
        <is>
          <t>Verfueg h</t>
        </is>
      </c>
      <c r="I7" s="147" t="inlineStr">
        <is>
          <t>€/h</t>
        </is>
      </c>
      <c r="J7" s="147" t="inlineStr">
        <is>
          <t>Zufr-Score</t>
        </is>
      </c>
      <c r="K7" s="147" t="inlineStr">
        <is>
          <t>Rechn. Stufe (ohne ±1)</t>
        </is>
      </c>
      <c r="L7" s="147" t="inlineStr">
        <is>
          <t>Tats. Stufe (mit ±1)</t>
        </is>
      </c>
      <c r="M7" s="147" t="inlineStr">
        <is>
          <t>Probezeit aktiv?</t>
        </is>
      </c>
      <c r="N7" s="147" t="inlineStr">
        <is>
          <t>Anzahl TH</t>
        </is>
      </c>
      <c r="O7" s="147" t="inlineStr">
        <is>
          <t>Termine erbracht</t>
        </is>
      </c>
      <c r="P7" s="147" t="inlineStr">
        <is>
          <t>Stand / Notizen</t>
        </is>
      </c>
    </row>
    <row r="8" ht="22" customHeight="1" s="97">
      <c r="A8" s="152" t="inlineStr">
        <is>
          <t>Laura</t>
        </is>
      </c>
      <c r="B8" s="152" t="inlineStr">
        <is>
          <t>Spandau, Mitte</t>
        </is>
      </c>
      <c r="C8" s="158" t="inlineStr"/>
      <c r="D8" s="158" t="inlineStr"/>
      <c r="E8" s="158" t="inlineStr"/>
      <c r="F8" s="158" t="inlineStr"/>
      <c r="G8" s="159" t="inlineStr"/>
      <c r="H8" s="158" t="inlineStr"/>
      <c r="I8" s="155" t="inlineStr"/>
      <c r="J8" s="155" t="inlineStr"/>
      <c r="K8" s="152" t="inlineStr"/>
      <c r="L8" s="152" t="inlineStr"/>
      <c r="M8" s="152" t="inlineStr"/>
      <c r="N8" s="152" t="inlineStr"/>
      <c r="O8" s="152" t="inlineStr"/>
      <c r="P8" s="152" t="inlineStr">
        <is>
          <t>(wird am 1.7.2026 befüllt)</t>
        </is>
      </c>
    </row>
    <row r="9" ht="22" customHeight="1" s="97">
      <c r="A9" s="152" t="inlineStr">
        <is>
          <t>Marleen</t>
        </is>
      </c>
      <c r="B9" s="152" t="inlineStr">
        <is>
          <t>Friedrichshain, Charlottenburg, Prenzlauer Berg</t>
        </is>
      </c>
      <c r="C9" s="158" t="inlineStr"/>
      <c r="D9" s="158" t="inlineStr"/>
      <c r="E9" s="158" t="inlineStr"/>
      <c r="F9" s="158" t="inlineStr"/>
      <c r="G9" s="159" t="inlineStr"/>
      <c r="H9" s="158" t="inlineStr"/>
      <c r="I9" s="155" t="inlineStr"/>
      <c r="J9" s="155" t="inlineStr"/>
      <c r="K9" s="152" t="inlineStr"/>
      <c r="L9" s="152" t="inlineStr"/>
      <c r="M9" s="152" t="inlineStr"/>
      <c r="N9" s="152" t="inlineStr"/>
      <c r="O9" s="152" t="inlineStr"/>
      <c r="P9" s="152" t="inlineStr">
        <is>
          <t>(wird am 1.7.2026 befüllt)</t>
        </is>
      </c>
    </row>
    <row r="10" ht="22" customHeight="1" s="97">
      <c r="A10" s="152" t="inlineStr">
        <is>
          <t>Luise</t>
        </is>
      </c>
      <c r="B10" s="152" t="inlineStr">
        <is>
          <t>Friedrichshain, Charlottenburg, Prenzlauer Berg</t>
        </is>
      </c>
      <c r="C10" s="158" t="inlineStr"/>
      <c r="D10" s="158" t="inlineStr"/>
      <c r="E10" s="158" t="inlineStr"/>
      <c r="F10" s="158" t="inlineStr"/>
      <c r="G10" s="159" t="inlineStr"/>
      <c r="H10" s="158" t="inlineStr"/>
      <c r="I10" s="155" t="inlineStr"/>
      <c r="J10" s="155" t="inlineStr"/>
      <c r="K10" s="152" t="inlineStr"/>
      <c r="L10" s="152" t="inlineStr"/>
      <c r="M10" s="152" t="inlineStr"/>
      <c r="N10" s="152" t="inlineStr"/>
      <c r="O10" s="152" t="inlineStr"/>
      <c r="P10" s="152" t="inlineStr">
        <is>
          <t>(wird am 1.7.2026 befüllt)</t>
        </is>
      </c>
    </row>
    <row r="11" ht="22" customHeight="1" s="97">
      <c r="A11" s="152" t="inlineStr">
        <is>
          <t>Max</t>
        </is>
      </c>
      <c r="B11" s="152" t="inlineStr">
        <is>
          <t>Spandau, Mitte</t>
        </is>
      </c>
      <c r="C11" s="158" t="inlineStr"/>
      <c r="D11" s="158" t="inlineStr"/>
      <c r="E11" s="158" t="inlineStr"/>
      <c r="F11" s="158" t="inlineStr"/>
      <c r="G11" s="159" t="inlineStr"/>
      <c r="H11" s="158" t="inlineStr"/>
      <c r="I11" s="155" t="inlineStr"/>
      <c r="J11" s="155" t="inlineStr"/>
      <c r="K11" s="152" t="inlineStr"/>
      <c r="L11" s="152" t="inlineStr"/>
      <c r="M11" s="152" t="inlineStr"/>
      <c r="N11" s="152" t="inlineStr"/>
      <c r="O11" s="152" t="inlineStr"/>
      <c r="P11" s="152" t="inlineStr">
        <is>
          <t>(wird am 1.7.2026 befüllt)</t>
        </is>
      </c>
    </row>
  </sheetData>
  <mergeCells count="2">
    <mergeCell ref="A1:P1"/>
    <mergeCell ref="A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style="97" min="1" max="1"/>
    <col width="22" customWidth="1" style="97" min="2" max="2"/>
    <col width="14" customWidth="1" style="97" min="3" max="3"/>
    <col width="18" customWidth="1" style="97" min="4" max="4"/>
    <col width="12" customWidth="1" style="97" min="5" max="5"/>
    <col width="10" customWidth="1" style="97" min="6" max="6"/>
  </cols>
  <sheetData>
    <row r="1">
      <c r="A1" s="136" t="inlineStr">
        <is>
          <t>📊 MediFox-Sanity-Check pro Quartal</t>
        </is>
      </c>
    </row>
    <row r="3" ht="40" customHeight="1" s="97">
      <c r="A3" s="137" t="inlineStr">
        <is>
          <t>Hier den MediFox-IST-Export pro Bundle eintragen. Diff zu NocoDB-IST wird automatisch berechnet. Akzeptable Toleranz: &lt; 2 % (durch nachgelagerte Abrechnungs-Logik / Verordnungs-Genehmigungen).</t>
        </is>
      </c>
    </row>
    <row r="5">
      <c r="A5" s="139" t="inlineStr">
        <is>
          <t>Quartal</t>
        </is>
      </c>
      <c r="B5" s="139" t="inlineStr">
        <is>
          <t>Bundle</t>
        </is>
      </c>
      <c r="C5" s="139" t="inlineStr">
        <is>
          <t>MediFox-IST</t>
        </is>
      </c>
      <c r="D5" s="139" t="inlineStr">
        <is>
          <t>NocoDB-IST (Code)</t>
        </is>
      </c>
      <c r="E5" s="139" t="inlineStr">
        <is>
          <t>Diff €</t>
        </is>
      </c>
      <c r="F5" s="139" t="inlineStr">
        <is>
          <t>Diff %</t>
        </is>
      </c>
    </row>
    <row r="6">
      <c r="A6" t="inlineStr">
        <is>
          <t>Q1 2026</t>
        </is>
      </c>
      <c r="B6" t="inlineStr">
        <is>
          <t>Laura (SP+MI)</t>
        </is>
      </c>
      <c r="C6" t="n">
        <v>299437</v>
      </c>
      <c r="D6" t="n">
        <v>293727</v>
      </c>
      <c r="E6">
        <f>D6-C6</f>
        <v/>
      </c>
      <c r="F6" s="146">
        <f>IFERROR((D6-C6)/C6,"")</f>
        <v/>
      </c>
    </row>
    <row r="7">
      <c r="A7" t="inlineStr">
        <is>
          <t>Q1 2026</t>
        </is>
      </c>
      <c r="B7" t="inlineStr">
        <is>
          <t>Marleen (FR+CB)</t>
        </is>
      </c>
      <c r="C7" t="n">
        <v>351752</v>
      </c>
      <c r="D7" t="n">
        <v>347401</v>
      </c>
      <c r="E7">
        <f>D7-C7</f>
        <v/>
      </c>
      <c r="F7" s="146">
        <f>IFERROR((D7-C7)/C7,"")</f>
        <v/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CAF50"/>
    <outlinePr summaryBelow="1" summaryRight="1"/>
    <pageSetUpPr/>
  </sheetPr>
  <dimension ref="B1:F52"/>
  <sheetViews>
    <sheetView showGridLines="0" topLeftCell="A30" workbookViewId="0">
      <selection activeCell="A1" sqref="A1"/>
    </sheetView>
  </sheetViews>
  <sheetFormatPr baseColWidth="10" defaultColWidth="8.83203125" defaultRowHeight="15"/>
  <cols>
    <col width="2" customWidth="1" style="97" min="1" max="1"/>
    <col width="32" customWidth="1" style="97" min="2" max="2"/>
    <col width="26" customWidth="1" style="97" min="3" max="3"/>
    <col width="24" customWidth="1" style="97" min="4" max="4"/>
    <col width="20" customWidth="1" style="97" min="5" max="6"/>
  </cols>
  <sheetData>
    <row r="1" ht="40" customHeight="1" s="97">
      <c r="B1" s="106" t="inlineStr">
        <is>
          <t>Laura — Dein Gehaltsmodell</t>
        </is>
      </c>
    </row>
    <row r="2" ht="22" customHeight="1" s="97">
      <c r="B2" s="107" t="inlineStr">
        <is>
          <t>Deine persönliche Übersicht — Gehalt, Stufe und was du für die nächste Stufe brauchst.</t>
        </is>
      </c>
    </row>
    <row r="4" ht="26" customHeight="1" s="97">
      <c r="B4" s="100" t="inlineStr">
        <is>
          <t>1. Du und dein Bundle</t>
        </is>
      </c>
    </row>
    <row r="6" ht="22" customHeight="1" s="97">
      <c r="B6" s="69" t="inlineStr">
        <is>
          <t>Name:</t>
        </is>
      </c>
      <c r="D6" s="70">
        <f>Daten!B5</f>
        <v/>
      </c>
    </row>
    <row r="7" ht="22" customHeight="1" s="97">
      <c r="B7" s="69" t="inlineStr">
        <is>
          <t>Dein Bundle:</t>
        </is>
      </c>
      <c r="D7" s="70" t="inlineStr">
        <is>
          <t>Spandau, Mitte</t>
        </is>
      </c>
    </row>
    <row r="8" ht="22" customHeight="1" s="97">
      <c r="B8" s="69" t="inlineStr">
        <is>
          <t>Wochenstunden:</t>
        </is>
      </c>
      <c r="D8" s="114">
        <f>Daten!C5</f>
        <v/>
      </c>
    </row>
    <row r="9" ht="22" customHeight="1" s="97">
      <c r="B9" s="69" t="inlineStr">
        <is>
          <t>Startdatum:</t>
        </is>
      </c>
      <c r="D9" s="70">
        <f>IFERROR(TEXT(Daten!A5,"DD.MM.YYYY"),"(seit Anfang)")</f>
        <v/>
      </c>
    </row>
    <row r="10" ht="22" customHeight="1" s="97">
      <c r="B10" s="69" t="inlineStr">
        <is>
          <t>Mindestgehalt pro Jahr:</t>
        </is>
      </c>
      <c r="D10" s="72">
        <f>Daten!F5</f>
        <v/>
      </c>
    </row>
    <row r="13" ht="26" customHeight="1" s="97">
      <c r="B13" s="100" t="inlineStr">
        <is>
          <t>2. Dein aktuelles Gehalt (letztes abgeschlossenes Quartal: Q1 2026)</t>
        </is>
      </c>
    </row>
    <row r="15" ht="36" customHeight="1" s="97">
      <c r="B15" s="69" t="inlineStr">
        <is>
          <t>Dein Monatsgehalt (ab Q2 2026):</t>
        </is>
      </c>
      <c r="D15" s="73">
        <f>IFERROR(Berechnung!T5,"(fehlt Zufr-Wert)")</f>
        <v/>
      </c>
    </row>
    <row r="16" ht="24" customHeight="1" s="97">
      <c r="B16" s="69" t="inlineStr">
        <is>
          <t>Stufe:</t>
        </is>
      </c>
      <c r="D16" s="70">
        <f>IFERROR(Berechnung!O5 &amp; " - " &amp; Berechnung!P5,"")</f>
        <v/>
      </c>
    </row>
    <row r="17" ht="24" customHeight="1" s="97">
      <c r="B17" s="69" t="inlineStr">
        <is>
          <t>Jahresgehalt:</t>
        </is>
      </c>
      <c r="D17" s="72">
        <f>IFERROR(Berechnung!S5,"")</f>
        <v/>
      </c>
    </row>
    <row r="19" ht="26" customHeight="1" s="97">
      <c r="B19" s="100" t="inlineStr">
        <is>
          <t>3. Warum diese Stufe?</t>
        </is>
      </c>
    </row>
    <row r="21" ht="30" customHeight="1" s="97">
      <c r="B21" s="69" t="inlineStr">
        <is>
          <t>Dein Leistungsindex (€/60min Therapie):</t>
        </is>
      </c>
      <c r="D21" s="115">
        <f>IFERROR(Daten!J5/(Daten!H5-Daten!I5),"")</f>
        <v/>
      </c>
    </row>
    <row r="22" ht="24" customHeight="1" s="97">
      <c r="B22" s="69" t="inlineStr">
        <is>
          <t>Deine Team-Zufriedenheit (0-10):</t>
        </is>
      </c>
      <c r="D22" s="75">
        <f>IFERROR(Berechnung!C5,"(fehlt Umfrage-Wert)")</f>
        <v/>
      </c>
    </row>
    <row r="24" ht="28" customHeight="1" s="97">
      <c r="B24" s="102" t="inlineStr">
        <is>
          <t>Deine erreichte Stufe ergibt sich, wenn BEIDE Werte oben den Schwellen entsprechen (siehe Modell-Tab).</t>
        </is>
      </c>
    </row>
    <row r="26" ht="26" customHeight="1" s="97">
      <c r="B26" s="100" t="inlineStr">
        <is>
          <t>4. Was bringt dir die nächste Stufe?</t>
        </is>
      </c>
    </row>
    <row r="28" ht="24" customHeight="1" s="97">
      <c r="B28" s="69" t="inlineStr">
        <is>
          <t>Nächste erreichbare Stufe:</t>
        </is>
      </c>
      <c r="D28" s="76">
        <f>IFERROR((IF(IFERROR(Berechnung!O5,0)&lt;6,IFERROR(Berechnung!O5,0)+1,6)) &amp; " - " &amp; INDEX({"Basis";"Gut";"Stark";"Sehr stark";"Exzellent";"Herausragend"},IF(IFERROR(Berechnung!O5,0)&lt;6,IFERROR(Berechnung!O5,0)+1,6)),"")</f>
        <v/>
      </c>
    </row>
    <row r="29" ht="32" customHeight="1" s="97">
      <c r="B29" s="69" t="inlineStr">
        <is>
          <t>Mehr pro Monat (Δ):</t>
        </is>
      </c>
      <c r="D29" s="116">
        <f>IFERROR(Berechnung!T5*((IFERROR(INDEX(Stufentabelle!E2:E7,IF(IFERROR(Berechnung!O5,0)&lt;6,IFERROR(Berechnung!O5,0)+1,6)),0))-(IFERROR(INDEX(Stufentabelle!E2:E7,Berechnung!O5),0)))/(1+(IFERROR(INDEX(Stufentabelle!E2:E7,Berechnung!O5),0))),"")</f>
        <v/>
      </c>
    </row>
    <row r="30" ht="24" customHeight="1" s="97">
      <c r="B30" s="69" t="inlineStr">
        <is>
          <t>Mehr pro Jahr (Δ):</t>
        </is>
      </c>
      <c r="D30" s="117">
        <f>IFERROR(Berechnung!S5*((IFERROR(INDEX(Stufentabelle!E2:E7,IF(IFERROR(Berechnung!O5,0)&lt;6,IFERROR(Berechnung!O5,0)+1,6)),0))-(IFERROR(INDEX(Stufentabelle!E2:E7,Berechnung!O5),0)))/(1+(IFERROR(INDEX(Stufentabelle!E2:E7,Berechnung!O5),0))),"")</f>
        <v/>
      </c>
    </row>
    <row r="32" ht="26" customHeight="1" s="97">
      <c r="B32" s="100" t="inlineStr">
        <is>
          <t>5. Was fehlt dir für die nächste Stufe?</t>
        </is>
      </c>
    </row>
    <row r="34" ht="24" customHeight="1" s="97">
      <c r="B34" s="69" t="inlineStr">
        <is>
          <t>Zielwert €/60min:</t>
        </is>
      </c>
      <c r="D34" s="118">
        <f>IFERROR(INDEX(Stufentabelle!F2:F7,IF(IFERROR(Berechnung!O5,0)&lt;6,IFERROR(Berechnung!O5,0)+1,6)),"")</f>
        <v/>
      </c>
    </row>
    <row r="35" ht="24" customHeight="1" s="97">
      <c r="B35" s="69" t="inlineStr">
        <is>
          <t>Fehlt dir pro Therapie-Stunde:</t>
        </is>
      </c>
      <c r="D35" s="119">
        <f>IFERROR(MAX(0,(INDEX(Stufentabelle!F2:F7,IF(IFERROR(Berechnung!O5,0)&lt;6,IFERROR(Berechnung!O5,0)+1,6)))-(Daten!J5/(Daten!H5-Daten!I5))),"")</f>
        <v/>
      </c>
    </row>
    <row r="36" ht="32" customHeight="1" s="97">
      <c r="B36" s="69" t="inlineStr">
        <is>
          <t>In Bundle-Umsatz pro Monat:</t>
        </is>
      </c>
      <c r="D36" s="120">
        <f>IFERROR(MAX(0,((INDEX(Stufentabelle!F2:F7,IF(IFERROR(Berechnung!O5,0)&lt;6,IFERROR(Berechnung!O5,0)+1,6)))*(Daten!H5-Daten!I5)-Daten!J5)/3),"")</f>
        <v/>
      </c>
    </row>
    <row r="38" ht="26" customHeight="1" s="97">
      <c r="B38" s="100" t="inlineStr">
        <is>
          <t>6. Hebel — so schaffst du das</t>
        </is>
      </c>
    </row>
    <row r="39" ht="20" customHeight="1" s="97">
      <c r="B39" s="102" t="inlineStr">
        <is>
          <t>Hinweis: Effekte sind Orientierungswerte (grobe Rechnung), keine exakten Prognosen.</t>
        </is>
      </c>
    </row>
    <row r="40" ht="30" customHeight="1" s="97">
      <c r="B40" s="57" t="inlineStr">
        <is>
          <t>Hebel</t>
        </is>
      </c>
      <c r="C40" s="57" t="inlineStr">
        <is>
          <t>Effekt</t>
        </is>
      </c>
      <c r="D40" s="57" t="inlineStr">
        <is>
          <t>Praktisch</t>
        </is>
      </c>
    </row>
    <row r="41" ht="30" customHeight="1" s="97">
      <c r="B41" s="82" t="inlineStr">
        <is>
          <t>Mehr Termine pro Woche</t>
        </is>
      </c>
      <c r="C41" s="82" t="inlineStr">
        <is>
          <t>+10 Termine/Wo ≈ +3 % Umsatz</t>
        </is>
      </c>
      <c r="D41" s="82" t="inlineStr">
        <is>
          <t>Auslastung hoch, Neukunden, Slots besser nutzen</t>
        </is>
      </c>
    </row>
    <row r="42" ht="30" customHeight="1" s="97">
      <c r="B42" s="83" t="inlineStr">
        <is>
          <t>Mehr PKV-Anteil</t>
        </is>
      </c>
      <c r="C42" s="83" t="inlineStr">
        <is>
          <t>+1 %-Pkt PKV ≈ +0,7 % Umsatz</t>
        </is>
      </c>
      <c r="D42" s="83" t="inlineStr">
        <is>
          <t>Privatpatienten aktiv gewinnen (1,7× Tarif)</t>
        </is>
      </c>
    </row>
    <row r="43" ht="30" customHeight="1" s="97">
      <c r="B43" s="82" t="inlineStr">
        <is>
          <t>Weniger Krankenstand</t>
        </is>
      </c>
      <c r="C43" s="82" t="inlineStr">
        <is>
          <t>−1 %-Pkt Krank ≈ +0,5 % Umsatz</t>
        </is>
      </c>
      <c r="D43" s="82" t="inlineStr">
        <is>
          <t>Team-Gesundheit, gute Urlaubsplanung</t>
        </is>
      </c>
    </row>
    <row r="46" ht="26" customHeight="1" s="97">
      <c r="B46" s="100" t="inlineStr">
        <is>
          <t>7. Deine Entwicklung über die Quartale</t>
        </is>
      </c>
    </row>
    <row r="48" ht="22" customHeight="1" s="97">
      <c r="B48" s="57" t="inlineStr">
        <is>
          <t>Quartal</t>
        </is>
      </c>
      <c r="C48" s="57" t="inlineStr">
        <is>
          <t>Stufe</t>
        </is>
      </c>
      <c r="D48" s="57" t="inlineStr">
        <is>
          <t>€/60min</t>
        </is>
      </c>
      <c r="E48" s="57" t="inlineStr">
        <is>
          <t>Monatsgehalt</t>
        </is>
      </c>
      <c r="F48" s="57" t="inlineStr">
        <is>
          <t>Jahresgehalt</t>
        </is>
      </c>
    </row>
    <row r="49" ht="22" customHeight="1" s="97">
      <c r="B49" s="70" t="inlineStr">
        <is>
          <t>Q1 2026</t>
        </is>
      </c>
      <c r="C49" s="84">
        <f>IFERROR(Berechnung!O5 &amp; " - " &amp; Berechnung!P5,"-")</f>
        <v/>
      </c>
      <c r="D49" s="121">
        <f>IFERROR(Daten!J5/(Daten!H5-Daten!I5),"-")</f>
        <v/>
      </c>
      <c r="E49" s="86">
        <f>IFERROR(Berechnung!T5,"-")</f>
        <v/>
      </c>
      <c r="F49" s="86">
        <f>IFERROR(Berechnung!S5,"-")</f>
        <v/>
      </c>
    </row>
    <row r="50" ht="22" customHeight="1" s="97">
      <c r="B50" s="70" t="inlineStr">
        <is>
          <t>Q2 2026</t>
        </is>
      </c>
      <c r="C50" s="84">
        <f>IFERROR(Berechnung!AG5 &amp; " - " &amp; Berechnung!AH5,"-")</f>
        <v/>
      </c>
      <c r="D50" s="121">
        <f>IFERROR(Daten!Q5/(Daten!O5-Daten!P5),"-")</f>
        <v/>
      </c>
      <c r="E50" s="86">
        <f>IFERROR(Berechnung!AL5,"-")</f>
        <v/>
      </c>
      <c r="F50" s="86">
        <f>IFERROR(Berechnung!AK5,"-")</f>
        <v/>
      </c>
    </row>
    <row r="51" ht="22" customHeight="1" s="97">
      <c r="B51" s="70" t="inlineStr">
        <is>
          <t>Q3 2026</t>
        </is>
      </c>
      <c r="C51" s="84">
        <f>IFERROR(Berechnung!AY5 &amp; " - " &amp; Berechnung!AZ5,"-")</f>
        <v/>
      </c>
      <c r="D51" s="121">
        <f>IFERROR(Daten!X5/(Daten!V5-Daten!W5),"-")</f>
        <v/>
      </c>
      <c r="E51" s="86">
        <f>IFERROR(Berechnung!BD5,"-")</f>
        <v/>
      </c>
      <c r="F51" s="86">
        <f>IFERROR(Berechnung!BC5,"-")</f>
        <v/>
      </c>
    </row>
    <row r="52" ht="22" customHeight="1" s="97">
      <c r="B52" s="70" t="inlineStr">
        <is>
          <t>Q4 2026</t>
        </is>
      </c>
      <c r="C52" s="84">
        <f>IFERROR(Berechnung!BQ5 &amp; " - " &amp; Berechnung!BR5,"-")</f>
        <v/>
      </c>
      <c r="D52" s="121">
        <f>IFERROR(Daten!AE5/(Daten!AC5-Daten!AD5),"-")</f>
        <v/>
      </c>
      <c r="E52" s="86">
        <f>IFERROR(Berechnung!BV5,"-")</f>
        <v/>
      </c>
      <c r="F52" s="86">
        <f>IFERROR(Berechnung!BU5,"-")</f>
        <v/>
      </c>
    </row>
  </sheetData>
  <mergeCells count="11">
    <mergeCell ref="B4:F4"/>
    <mergeCell ref="B39:F39"/>
    <mergeCell ref="B24:F24"/>
    <mergeCell ref="B2:F2"/>
    <mergeCell ref="B38:F38"/>
    <mergeCell ref="B19:F19"/>
    <mergeCell ref="B46:F46"/>
    <mergeCell ref="B1:F1"/>
    <mergeCell ref="B32:F32"/>
    <mergeCell ref="B26:F26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196F3"/>
    <outlinePr summaryBelow="1" summaryRight="1"/>
    <pageSetUpPr/>
  </sheetPr>
  <dimension ref="B1:F52"/>
  <sheetViews>
    <sheetView showGridLines="0" workbookViewId="0">
      <selection activeCell="A1" sqref="A1"/>
    </sheetView>
  </sheetViews>
  <sheetFormatPr baseColWidth="10" defaultColWidth="8.83203125" defaultRowHeight="15"/>
  <cols>
    <col width="2" customWidth="1" style="97" min="1" max="1"/>
    <col width="32" customWidth="1" style="97" min="2" max="2"/>
    <col width="26" customWidth="1" style="97" min="3" max="3"/>
    <col width="24" customWidth="1" style="97" min="4" max="4"/>
    <col width="20" customWidth="1" style="97" min="5" max="6"/>
  </cols>
  <sheetData>
    <row r="1" ht="40" customHeight="1" s="97">
      <c r="B1" s="106" t="inlineStr">
        <is>
          <t>Marleen — Dein Gehaltsmodell</t>
        </is>
      </c>
    </row>
    <row r="2" ht="22" customHeight="1" s="97">
      <c r="B2" s="107" t="inlineStr">
        <is>
          <t>Deine persönliche Übersicht — Gehalt, Stufe und was du für die nächste Stufe brauchst.</t>
        </is>
      </c>
    </row>
    <row r="4" ht="26" customHeight="1" s="97">
      <c r="B4" s="100" t="inlineStr">
        <is>
          <t>1. Du und dein Bundle</t>
        </is>
      </c>
    </row>
    <row r="6" ht="22" customHeight="1" s="97">
      <c r="B6" s="69" t="inlineStr">
        <is>
          <t>Name:</t>
        </is>
      </c>
      <c r="D6" s="70">
        <f>Daten!B6</f>
        <v/>
      </c>
    </row>
    <row r="7" ht="22" customHeight="1" s="97">
      <c r="B7" s="69" t="inlineStr">
        <is>
          <t>Dein Bundle:</t>
        </is>
      </c>
      <c r="D7" s="70" t="inlineStr">
        <is>
          <t>Friedrichshain, Charlottenburg, Prenzlauer Berg</t>
        </is>
      </c>
    </row>
    <row r="8" ht="22" customHeight="1" s="97">
      <c r="B8" s="69" t="inlineStr">
        <is>
          <t>Wochenstunden:</t>
        </is>
      </c>
      <c r="D8" s="114">
        <f>Daten!C6</f>
        <v/>
      </c>
    </row>
    <row r="9" ht="22" customHeight="1" s="97">
      <c r="B9" s="69" t="inlineStr">
        <is>
          <t>Startdatum:</t>
        </is>
      </c>
      <c r="D9" s="70">
        <f>IFERROR(TEXT(Daten!A6,"DD.MM.YYYY"),"(seit Anfang)")</f>
        <v/>
      </c>
    </row>
    <row r="10" ht="22" customHeight="1" s="97">
      <c r="B10" s="69" t="inlineStr">
        <is>
          <t>Mindestgehalt pro Jahr:</t>
        </is>
      </c>
      <c r="D10" s="72">
        <f>Daten!F6</f>
        <v/>
      </c>
    </row>
    <row r="13" ht="26" customHeight="1" s="97">
      <c r="B13" s="100" t="inlineStr">
        <is>
          <t>2. Dein aktuelles Gehalt (letztes abgeschlossenes Quartal: Q1 2026)</t>
        </is>
      </c>
    </row>
    <row r="15" ht="36" customHeight="1" s="97">
      <c r="B15" s="69" t="inlineStr">
        <is>
          <t>Dein Monatsgehalt (ab Q2 2026):</t>
        </is>
      </c>
      <c r="D15" s="73">
        <f>IFERROR(Berechnung!T6,"(fehlt Zufr-Wert)")</f>
        <v/>
      </c>
    </row>
    <row r="16" ht="24" customHeight="1" s="97">
      <c r="B16" s="69" t="inlineStr">
        <is>
          <t>Stufe:</t>
        </is>
      </c>
      <c r="D16" s="70">
        <f>IFERROR(Berechnung!O6 &amp; " - " &amp; Berechnung!P6,"")</f>
        <v/>
      </c>
    </row>
    <row r="17" ht="24" customHeight="1" s="97">
      <c r="B17" s="69" t="inlineStr">
        <is>
          <t>Jahresgehalt:</t>
        </is>
      </c>
      <c r="D17" s="72">
        <f>IFERROR(Berechnung!S6,"")</f>
        <v/>
      </c>
    </row>
    <row r="19" ht="26" customHeight="1" s="97">
      <c r="B19" s="100" t="inlineStr">
        <is>
          <t>3. Warum diese Stufe?</t>
        </is>
      </c>
    </row>
    <row r="21" ht="30" customHeight="1" s="97">
      <c r="B21" s="69" t="inlineStr">
        <is>
          <t>Dein Leistungsindex (€/60min Therapie):</t>
        </is>
      </c>
      <c r="D21" s="115">
        <f>IFERROR(Daten!J6/(Daten!H6-Daten!I6),"")</f>
        <v/>
      </c>
    </row>
    <row r="22" ht="24" customHeight="1" s="97">
      <c r="B22" s="69" t="inlineStr">
        <is>
          <t>Deine Team-Zufriedenheit (0-10):</t>
        </is>
      </c>
      <c r="D22" s="75">
        <f>IFERROR(Berechnung!C6,"(fehlt Umfrage-Wert)")</f>
        <v/>
      </c>
    </row>
    <row r="24" ht="28" customHeight="1" s="97">
      <c r="B24" s="102" t="inlineStr">
        <is>
          <t>Deine erreichte Stufe ergibt sich, wenn BEIDE Werte oben den Schwellen entsprechen (siehe Modell-Tab).</t>
        </is>
      </c>
    </row>
    <row r="26" ht="26" customHeight="1" s="97">
      <c r="B26" s="100" t="inlineStr">
        <is>
          <t>4. Was bringt dir die nächste Stufe?</t>
        </is>
      </c>
    </row>
    <row r="28" ht="24" customHeight="1" s="97">
      <c r="B28" s="69" t="inlineStr">
        <is>
          <t>Nächste erreichbare Stufe:</t>
        </is>
      </c>
      <c r="D28" s="76">
        <f>IFERROR((IF(IFERROR(Berechnung!O6,0)&lt;6,IFERROR(Berechnung!O6,0)+1,6)) &amp; " - " &amp; INDEX({"Basis";"Gut";"Stark";"Sehr stark";"Exzellent";"Herausragend"},IF(IFERROR(Berechnung!O6,0)&lt;6,IFERROR(Berechnung!O6,0)+1,6)),"")</f>
        <v/>
      </c>
    </row>
    <row r="29" ht="32" customHeight="1" s="97">
      <c r="B29" s="69" t="inlineStr">
        <is>
          <t>Mehr pro Monat (Δ):</t>
        </is>
      </c>
      <c r="D29" s="116">
        <f>IFERROR(Berechnung!T6*((IFERROR(INDEX(Stufentabelle!E2:E7,IF(IFERROR(Berechnung!O6,0)&lt;6,IFERROR(Berechnung!O6,0)+1,6)),0))-(IFERROR(INDEX(Stufentabelle!E2:E7,Berechnung!O6),0)))/(1+(IFERROR(INDEX(Stufentabelle!E2:E7,Berechnung!O6),0))),"")</f>
        <v/>
      </c>
    </row>
    <row r="30" ht="24" customHeight="1" s="97">
      <c r="B30" s="69" t="inlineStr">
        <is>
          <t>Mehr pro Jahr (Δ):</t>
        </is>
      </c>
      <c r="D30" s="117">
        <f>IFERROR(Berechnung!S6*((IFERROR(INDEX(Stufentabelle!E2:E7,IF(IFERROR(Berechnung!O6,0)&lt;6,IFERROR(Berechnung!O6,0)+1,6)),0))-(IFERROR(INDEX(Stufentabelle!E2:E7,Berechnung!O6),0)))/(1+(IFERROR(INDEX(Stufentabelle!E2:E7,Berechnung!O6),0))),"")</f>
        <v/>
      </c>
    </row>
    <row r="32" ht="26" customHeight="1" s="97">
      <c r="B32" s="100" t="inlineStr">
        <is>
          <t>5. Was fehlt dir für die nächste Stufe?</t>
        </is>
      </c>
    </row>
    <row r="34" ht="24" customHeight="1" s="97">
      <c r="B34" s="69" t="inlineStr">
        <is>
          <t>Zielwert €/60min:</t>
        </is>
      </c>
      <c r="D34" s="118">
        <f>IFERROR(INDEX(Stufentabelle!F2:F7,IF(IFERROR(Berechnung!O6,0)&lt;6,IFERROR(Berechnung!O6,0)+1,6)),"")</f>
        <v/>
      </c>
    </row>
    <row r="35" ht="24" customHeight="1" s="97">
      <c r="B35" s="69" t="inlineStr">
        <is>
          <t>Fehlt dir pro Therapie-Stunde:</t>
        </is>
      </c>
      <c r="D35" s="119">
        <f>IFERROR(MAX(0,(INDEX(Stufentabelle!F2:F7,IF(IFERROR(Berechnung!O6,0)&lt;6,IFERROR(Berechnung!O6,0)+1,6)))-(Daten!J6/(Daten!H6-Daten!I6))),"")</f>
        <v/>
      </c>
    </row>
    <row r="36" ht="32" customHeight="1" s="97">
      <c r="B36" s="69" t="inlineStr">
        <is>
          <t>In Bundle-Umsatz pro Monat:</t>
        </is>
      </c>
      <c r="D36" s="120">
        <f>IFERROR(MAX(0,((INDEX(Stufentabelle!F2:F7,IF(IFERROR(Berechnung!O6,0)&lt;6,IFERROR(Berechnung!O6,0)+1,6)))*(Daten!H6-Daten!I6)-Daten!J6)/3),"")</f>
        <v/>
      </c>
    </row>
    <row r="38" ht="26" customHeight="1" s="97">
      <c r="B38" s="100" t="inlineStr">
        <is>
          <t>6. Hebel — so schaffst du das</t>
        </is>
      </c>
    </row>
    <row r="39" ht="20" customHeight="1" s="97">
      <c r="B39" s="102" t="inlineStr">
        <is>
          <t>Hinweis: Effekte sind Orientierungswerte (grobe Rechnung), keine exakten Prognosen.</t>
        </is>
      </c>
    </row>
    <row r="40" ht="30" customHeight="1" s="97">
      <c r="B40" s="57" t="inlineStr">
        <is>
          <t>Hebel</t>
        </is>
      </c>
      <c r="C40" s="57" t="inlineStr">
        <is>
          <t>Effekt</t>
        </is>
      </c>
      <c r="D40" s="57" t="inlineStr">
        <is>
          <t>Praktisch</t>
        </is>
      </c>
    </row>
    <row r="41" ht="30" customHeight="1" s="97">
      <c r="B41" s="82" t="inlineStr">
        <is>
          <t>Mehr Termine pro Woche</t>
        </is>
      </c>
      <c r="C41" s="82" t="inlineStr">
        <is>
          <t>+10 Termine/Wo ≈ +3 % Umsatz</t>
        </is>
      </c>
      <c r="D41" s="82" t="inlineStr">
        <is>
          <t>Auslastung hoch, Neukunden, Slots besser nutzen</t>
        </is>
      </c>
    </row>
    <row r="42" ht="30" customHeight="1" s="97">
      <c r="B42" s="83" t="inlineStr">
        <is>
          <t>Mehr PKV-Anteil</t>
        </is>
      </c>
      <c r="C42" s="83" t="inlineStr">
        <is>
          <t>+1 %-Pkt PKV ≈ +0,7 % Umsatz</t>
        </is>
      </c>
      <c r="D42" s="83" t="inlineStr">
        <is>
          <t>Privatpatienten aktiv gewinnen (1,7× Tarif)</t>
        </is>
      </c>
    </row>
    <row r="43" ht="30" customHeight="1" s="97">
      <c r="B43" s="82" t="inlineStr">
        <is>
          <t>Weniger Krankenstand</t>
        </is>
      </c>
      <c r="C43" s="82" t="inlineStr">
        <is>
          <t>−1 %-Pkt Krank ≈ +0,5 % Umsatz</t>
        </is>
      </c>
      <c r="D43" s="82" t="inlineStr">
        <is>
          <t>Team-Gesundheit, gute Urlaubsplanung</t>
        </is>
      </c>
    </row>
    <row r="46" ht="26" customHeight="1" s="97">
      <c r="B46" s="100" t="inlineStr">
        <is>
          <t>7. Deine Entwicklung über die Quartale</t>
        </is>
      </c>
    </row>
    <row r="48" ht="22" customHeight="1" s="97">
      <c r="B48" s="57" t="inlineStr">
        <is>
          <t>Quartal</t>
        </is>
      </c>
      <c r="C48" s="57" t="inlineStr">
        <is>
          <t>Stufe</t>
        </is>
      </c>
      <c r="D48" s="57" t="inlineStr">
        <is>
          <t>€/60min</t>
        </is>
      </c>
      <c r="E48" s="57" t="inlineStr">
        <is>
          <t>Monatsgehalt</t>
        </is>
      </c>
      <c r="F48" s="57" t="inlineStr">
        <is>
          <t>Jahresgehalt</t>
        </is>
      </c>
    </row>
    <row r="49" ht="22" customHeight="1" s="97">
      <c r="B49" s="70" t="inlineStr">
        <is>
          <t>Q1 2026</t>
        </is>
      </c>
      <c r="C49" s="84">
        <f>IFERROR(Berechnung!O6 &amp; " - " &amp; Berechnung!P6,"-")</f>
        <v/>
      </c>
      <c r="D49" s="121">
        <f>IFERROR(Daten!J6/(Daten!H6-Daten!I6),"-")</f>
        <v/>
      </c>
      <c r="E49" s="86">
        <f>IFERROR(Berechnung!T6,"-")</f>
        <v/>
      </c>
      <c r="F49" s="86">
        <f>IFERROR(Berechnung!S6,"-")</f>
        <v/>
      </c>
    </row>
    <row r="50" ht="22" customHeight="1" s="97">
      <c r="B50" s="70" t="inlineStr">
        <is>
          <t>Q2 2026</t>
        </is>
      </c>
      <c r="C50" s="84">
        <f>IFERROR(Berechnung!AG6 &amp; " - " &amp; Berechnung!AH6,"-")</f>
        <v/>
      </c>
      <c r="D50" s="121">
        <f>IFERROR(Daten!Q6/(Daten!O6-Daten!P6),"-")</f>
        <v/>
      </c>
      <c r="E50" s="86">
        <f>IFERROR(Berechnung!AL6,"-")</f>
        <v/>
      </c>
      <c r="F50" s="86">
        <f>IFERROR(Berechnung!AK6,"-")</f>
        <v/>
      </c>
    </row>
    <row r="51" ht="22" customHeight="1" s="97">
      <c r="B51" s="70" t="inlineStr">
        <is>
          <t>Q3 2026</t>
        </is>
      </c>
      <c r="C51" s="84">
        <f>IFERROR(Berechnung!AY6 &amp; " - " &amp; Berechnung!AZ6,"-")</f>
        <v/>
      </c>
      <c r="D51" s="121">
        <f>IFERROR(Daten!X6/(Daten!V6-Daten!W6),"-")</f>
        <v/>
      </c>
      <c r="E51" s="86">
        <f>IFERROR(Berechnung!BD6,"-")</f>
        <v/>
      </c>
      <c r="F51" s="86">
        <f>IFERROR(Berechnung!BC6,"-")</f>
        <v/>
      </c>
    </row>
    <row r="52" ht="22" customHeight="1" s="97">
      <c r="B52" s="70" t="inlineStr">
        <is>
          <t>Q4 2026</t>
        </is>
      </c>
      <c r="C52" s="84">
        <f>IFERROR(Berechnung!BQ6 &amp; " - " &amp; Berechnung!BR6,"-")</f>
        <v/>
      </c>
      <c r="D52" s="121">
        <f>IFERROR(Daten!AE6/(Daten!AC6-Daten!AD6),"-")</f>
        <v/>
      </c>
      <c r="E52" s="86">
        <f>IFERROR(Berechnung!BV6,"-")</f>
        <v/>
      </c>
      <c r="F52" s="86">
        <f>IFERROR(Berechnung!BU6,"-")</f>
        <v/>
      </c>
    </row>
  </sheetData>
  <mergeCells count="11">
    <mergeCell ref="B4:F4"/>
    <mergeCell ref="B39:F39"/>
    <mergeCell ref="B24:F24"/>
    <mergeCell ref="B2:F2"/>
    <mergeCell ref="B38:F38"/>
    <mergeCell ref="B19:F19"/>
    <mergeCell ref="B46:F46"/>
    <mergeCell ref="B1:F1"/>
    <mergeCell ref="B32:F32"/>
    <mergeCell ref="B26:F26"/>
    <mergeCell ref="B13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C27B0"/>
    <outlinePr summaryBelow="1" summaryRight="1"/>
    <pageSetUpPr/>
  </sheetPr>
  <dimension ref="B1:F52"/>
  <sheetViews>
    <sheetView showGridLines="0" workbookViewId="0">
      <selection activeCell="A1" sqref="A1"/>
    </sheetView>
  </sheetViews>
  <sheetFormatPr baseColWidth="10" defaultColWidth="8.83203125" defaultRowHeight="15"/>
  <cols>
    <col width="2" customWidth="1" style="97" min="1" max="1"/>
    <col width="32" customWidth="1" style="97" min="2" max="2"/>
    <col width="26" customWidth="1" style="97" min="3" max="3"/>
    <col width="24" customWidth="1" style="97" min="4" max="4"/>
    <col width="20" customWidth="1" style="97" min="5" max="6"/>
  </cols>
  <sheetData>
    <row r="1" ht="40" customHeight="1" s="97">
      <c r="B1" s="106" t="inlineStr">
        <is>
          <t>Luise — Dein Gehaltsmodell</t>
        </is>
      </c>
    </row>
    <row r="2" ht="22" customHeight="1" s="97">
      <c r="B2" s="107" t="inlineStr">
        <is>
          <t>Deine persönliche Übersicht — Gehalt, Stufe und was du für die nächste Stufe brauchst.</t>
        </is>
      </c>
    </row>
    <row r="4" ht="26" customHeight="1" s="97">
      <c r="B4" s="100" t="inlineStr">
        <is>
          <t>1. Du und dein Bundle</t>
        </is>
      </c>
    </row>
    <row r="6" ht="22" customHeight="1" s="97">
      <c r="B6" s="69" t="inlineStr">
        <is>
          <t>Name:</t>
        </is>
      </c>
      <c r="D6" s="70">
        <f>Daten!B7</f>
        <v/>
      </c>
    </row>
    <row r="7" ht="22" customHeight="1" s="97">
      <c r="B7" s="69" t="inlineStr">
        <is>
          <t>Dein Bundle:</t>
        </is>
      </c>
      <c r="D7" s="70" t="inlineStr">
        <is>
          <t>Friedrichshain, Charlottenburg, Prenzlauer Berg</t>
        </is>
      </c>
    </row>
    <row r="8" ht="22" customHeight="1" s="97">
      <c r="B8" s="69" t="inlineStr">
        <is>
          <t>Wochenstunden:</t>
        </is>
      </c>
      <c r="D8" s="114">
        <f>Daten!C7</f>
        <v/>
      </c>
    </row>
    <row r="9" ht="22" customHeight="1" s="97">
      <c r="B9" s="69" t="inlineStr">
        <is>
          <t>Startdatum:</t>
        </is>
      </c>
      <c r="D9" s="70">
        <f>IFERROR(TEXT(Daten!A7,"DD.MM.YYYY"),"(seit Anfang)")</f>
        <v/>
      </c>
    </row>
    <row r="10" ht="22" customHeight="1" s="97">
      <c r="B10" s="69" t="inlineStr">
        <is>
          <t>Mindestgehalt pro Jahr:</t>
        </is>
      </c>
      <c r="D10" s="72">
        <f>Daten!F7</f>
        <v/>
      </c>
    </row>
    <row r="13" ht="26" customHeight="1" s="97">
      <c r="B13" s="100" t="inlineStr">
        <is>
          <t>2. Dein aktuelles Gehalt (letztes abgeschlossenes Quartal: Q1 2026)</t>
        </is>
      </c>
    </row>
    <row r="15" ht="36" customHeight="1" s="97">
      <c r="B15" s="69" t="inlineStr">
        <is>
          <t>Dein Monatsgehalt (ab Q2 2026):</t>
        </is>
      </c>
      <c r="D15" s="73">
        <f>IFERROR(Berechnung!T7,"(fehlt Zufr-Wert)")</f>
        <v/>
      </c>
    </row>
    <row r="16" ht="24" customHeight="1" s="97">
      <c r="B16" s="69" t="inlineStr">
        <is>
          <t>Stufe:</t>
        </is>
      </c>
      <c r="D16" s="70">
        <f>IFERROR(Berechnung!O7 &amp; " - " &amp; Berechnung!P7,"")</f>
        <v/>
      </c>
    </row>
    <row r="17" ht="24" customHeight="1" s="97">
      <c r="B17" s="69" t="inlineStr">
        <is>
          <t>Jahresgehalt:</t>
        </is>
      </c>
      <c r="D17" s="72">
        <f>IFERROR(Berechnung!S7,"")</f>
        <v/>
      </c>
    </row>
    <row r="19" ht="26" customHeight="1" s="97">
      <c r="B19" s="100" t="inlineStr">
        <is>
          <t>3. Warum diese Stufe?</t>
        </is>
      </c>
    </row>
    <row r="21" ht="30" customHeight="1" s="97">
      <c r="B21" s="69" t="inlineStr">
        <is>
          <t>Dein Leistungsindex (€/60min Therapie):</t>
        </is>
      </c>
      <c r="D21" s="115">
        <f>IFERROR(Daten!J7/(Daten!H7-Daten!I7),"")</f>
        <v/>
      </c>
    </row>
    <row r="22" ht="24" customHeight="1" s="97">
      <c r="B22" s="69" t="inlineStr">
        <is>
          <t>Deine Team-Zufriedenheit (0-10):</t>
        </is>
      </c>
      <c r="D22" s="75">
        <f>IFERROR(Berechnung!C7,"(fehlt Umfrage-Wert)")</f>
        <v/>
      </c>
    </row>
    <row r="24" ht="28" customHeight="1" s="97">
      <c r="B24" s="102" t="inlineStr">
        <is>
          <t>Deine erreichte Stufe ergibt sich, wenn BEIDE Werte oben den Schwellen entsprechen (siehe Modell-Tab).</t>
        </is>
      </c>
    </row>
    <row r="26" ht="26" customHeight="1" s="97">
      <c r="B26" s="100" t="inlineStr">
        <is>
          <t>4. Was bringt dir die nächste Stufe?</t>
        </is>
      </c>
    </row>
    <row r="28" ht="24" customHeight="1" s="97">
      <c r="B28" s="69" t="inlineStr">
        <is>
          <t>Nächste erreichbare Stufe:</t>
        </is>
      </c>
      <c r="D28" s="76">
        <f>IFERROR((IF(IFERROR(Berechnung!O7,0)&lt;6,IFERROR(Berechnung!O7,0)+1,6)) &amp; " - " &amp; INDEX({"Basis";"Gut";"Stark";"Sehr stark";"Exzellent";"Herausragend"},IF(IFERROR(Berechnung!O7,0)&lt;6,IFERROR(Berechnung!O7,0)+1,6)),"")</f>
        <v/>
      </c>
    </row>
    <row r="29" ht="32" customHeight="1" s="97">
      <c r="B29" s="69" t="inlineStr">
        <is>
          <t>Mehr pro Monat (Δ):</t>
        </is>
      </c>
      <c r="D29" s="116">
        <f>IFERROR(Berechnung!T7*((IFERROR(INDEX(Stufentabelle!E2:E7,IF(IFERROR(Berechnung!O7,0)&lt;6,IFERROR(Berechnung!O7,0)+1,6)),0))-(IFERROR(INDEX(Stufentabelle!E2:E7,Berechnung!O7),0)))/(1+(IFERROR(INDEX(Stufentabelle!E2:E7,Berechnung!O7),0))),"")</f>
        <v/>
      </c>
    </row>
    <row r="30" ht="24" customHeight="1" s="97">
      <c r="B30" s="69" t="inlineStr">
        <is>
          <t>Mehr pro Jahr (Δ):</t>
        </is>
      </c>
      <c r="D30" s="117">
        <f>IFERROR(Berechnung!S7*((IFERROR(INDEX(Stufentabelle!E2:E7,IF(IFERROR(Berechnung!O7,0)&lt;6,IFERROR(Berechnung!O7,0)+1,6)),0))-(IFERROR(INDEX(Stufentabelle!E2:E7,Berechnung!O7),0)))/(1+(IFERROR(INDEX(Stufentabelle!E2:E7,Berechnung!O7),0))),"")</f>
        <v/>
      </c>
    </row>
    <row r="32" ht="26" customHeight="1" s="97">
      <c r="B32" s="100" t="inlineStr">
        <is>
          <t>5. Was fehlt dir für die nächste Stufe?</t>
        </is>
      </c>
    </row>
    <row r="34" ht="24" customHeight="1" s="97">
      <c r="B34" s="69" t="inlineStr">
        <is>
          <t>Zielwert €/60min:</t>
        </is>
      </c>
      <c r="D34" s="118">
        <f>IFERROR(INDEX(Stufentabelle!F2:F7,IF(IFERROR(Berechnung!O7,0)&lt;6,IFERROR(Berechnung!O7,0)+1,6)),"")</f>
        <v/>
      </c>
    </row>
    <row r="35" ht="24" customHeight="1" s="97">
      <c r="B35" s="69" t="inlineStr">
        <is>
          <t>Fehlt dir pro Therapie-Stunde:</t>
        </is>
      </c>
      <c r="D35" s="119">
        <f>IFERROR(MAX(0,(INDEX(Stufentabelle!F2:F7,IF(IFERROR(Berechnung!O7,0)&lt;6,IFERROR(Berechnung!O7,0)+1,6)))-(Daten!J7/(Daten!H7-Daten!I7))),"")</f>
        <v/>
      </c>
    </row>
    <row r="36" ht="32" customHeight="1" s="97">
      <c r="B36" s="69" t="inlineStr">
        <is>
          <t>In Bundle-Umsatz pro Monat:</t>
        </is>
      </c>
      <c r="D36" s="120">
        <f>IFERROR(MAX(0,((INDEX(Stufentabelle!F2:F7,IF(IFERROR(Berechnung!O7,0)&lt;6,IFERROR(Berechnung!O7,0)+1,6)))*(Daten!H7-Daten!I7)-Daten!J7)/3),"")</f>
        <v/>
      </c>
    </row>
    <row r="38" ht="26" customHeight="1" s="97">
      <c r="B38" s="100" t="inlineStr">
        <is>
          <t>6. Hebel — so schaffst du das</t>
        </is>
      </c>
    </row>
    <row r="39" ht="20" customHeight="1" s="97">
      <c r="B39" s="102" t="inlineStr">
        <is>
          <t>Hinweis: Effekte sind Orientierungswerte (grobe Rechnung), keine exakten Prognosen.</t>
        </is>
      </c>
    </row>
    <row r="40" ht="30" customHeight="1" s="97">
      <c r="B40" s="57" t="inlineStr">
        <is>
          <t>Hebel</t>
        </is>
      </c>
      <c r="C40" s="57" t="inlineStr">
        <is>
          <t>Effekt</t>
        </is>
      </c>
      <c r="D40" s="57" t="inlineStr">
        <is>
          <t>Praktisch</t>
        </is>
      </c>
    </row>
    <row r="41" ht="30" customHeight="1" s="97">
      <c r="B41" s="82" t="inlineStr">
        <is>
          <t>Mehr Termine pro Woche</t>
        </is>
      </c>
      <c r="C41" s="82" t="inlineStr">
        <is>
          <t>+10 Termine/Wo ≈ +3 % Umsatz</t>
        </is>
      </c>
      <c r="D41" s="82" t="inlineStr">
        <is>
          <t>Auslastung hoch, Neukunden, Slots besser nutzen</t>
        </is>
      </c>
    </row>
    <row r="42" ht="30" customHeight="1" s="97">
      <c r="B42" s="83" t="inlineStr">
        <is>
          <t>Mehr PKV-Anteil</t>
        </is>
      </c>
      <c r="C42" s="83" t="inlineStr">
        <is>
          <t>+1 %-Pkt PKV ≈ +0,7 % Umsatz</t>
        </is>
      </c>
      <c r="D42" s="83" t="inlineStr">
        <is>
          <t>Privatpatienten aktiv gewinnen (1,7× Tarif)</t>
        </is>
      </c>
    </row>
    <row r="43" ht="30" customHeight="1" s="97">
      <c r="B43" s="82" t="inlineStr">
        <is>
          <t>Weniger Krankenstand</t>
        </is>
      </c>
      <c r="C43" s="82" t="inlineStr">
        <is>
          <t>−1 %-Pkt Krank ≈ +0,5 % Umsatz</t>
        </is>
      </c>
      <c r="D43" s="82" t="inlineStr">
        <is>
          <t>Team-Gesundheit, gute Urlaubsplanung</t>
        </is>
      </c>
    </row>
    <row r="46" ht="26" customHeight="1" s="97">
      <c r="B46" s="100" t="inlineStr">
        <is>
          <t>7. Deine Entwicklung über die Quartale</t>
        </is>
      </c>
    </row>
    <row r="48" ht="22" customHeight="1" s="97">
      <c r="B48" s="57" t="inlineStr">
        <is>
          <t>Quartal</t>
        </is>
      </c>
      <c r="C48" s="57" t="inlineStr">
        <is>
          <t>Stufe</t>
        </is>
      </c>
      <c r="D48" s="57" t="inlineStr">
        <is>
          <t>€/60min</t>
        </is>
      </c>
      <c r="E48" s="57" t="inlineStr">
        <is>
          <t>Monatsgehalt</t>
        </is>
      </c>
      <c r="F48" s="57" t="inlineStr">
        <is>
          <t>Jahresgehalt</t>
        </is>
      </c>
    </row>
    <row r="49" ht="22" customHeight="1" s="97">
      <c r="B49" s="70" t="inlineStr">
        <is>
          <t>Q1 2026</t>
        </is>
      </c>
      <c r="C49" s="84">
        <f>IFERROR(Berechnung!O7 &amp; " - " &amp; Berechnung!P7,"-")</f>
        <v/>
      </c>
      <c r="D49" s="121">
        <f>IFERROR(Daten!J7/(Daten!H7-Daten!I7),"-")</f>
        <v/>
      </c>
      <c r="E49" s="86">
        <f>IFERROR(Berechnung!T7,"-")</f>
        <v/>
      </c>
      <c r="F49" s="86">
        <f>IFERROR(Berechnung!S7,"-")</f>
        <v/>
      </c>
    </row>
    <row r="50" ht="22" customHeight="1" s="97">
      <c r="B50" s="70" t="inlineStr">
        <is>
          <t>Q2 2026</t>
        </is>
      </c>
      <c r="C50" s="84">
        <f>IFERROR(Berechnung!AG7 &amp; " - " &amp; Berechnung!AH7,"-")</f>
        <v/>
      </c>
      <c r="D50" s="121">
        <f>IFERROR(Daten!Q7/(Daten!O7-Daten!P7),"-")</f>
        <v/>
      </c>
      <c r="E50" s="86">
        <f>IFERROR(Berechnung!AL7,"-")</f>
        <v/>
      </c>
      <c r="F50" s="86">
        <f>IFERROR(Berechnung!AK7,"-")</f>
        <v/>
      </c>
    </row>
    <row r="51" ht="22" customHeight="1" s="97">
      <c r="B51" s="70" t="inlineStr">
        <is>
          <t>Q3 2026</t>
        </is>
      </c>
      <c r="C51" s="84">
        <f>IFERROR(Berechnung!AY7 &amp; " - " &amp; Berechnung!AZ7,"-")</f>
        <v/>
      </c>
      <c r="D51" s="121">
        <f>IFERROR(Daten!X7/(Daten!V7-Daten!W7),"-")</f>
        <v/>
      </c>
      <c r="E51" s="86">
        <f>IFERROR(Berechnung!BD7,"-")</f>
        <v/>
      </c>
      <c r="F51" s="86">
        <f>IFERROR(Berechnung!BC7,"-")</f>
        <v/>
      </c>
    </row>
    <row r="52" ht="22" customHeight="1" s="97">
      <c r="B52" s="70" t="inlineStr">
        <is>
          <t>Q4 2026</t>
        </is>
      </c>
      <c r="C52" s="84">
        <f>IFERROR(Berechnung!BQ7 &amp; " - " &amp; Berechnung!BR7,"-")</f>
        <v/>
      </c>
      <c r="D52" s="121">
        <f>IFERROR(Daten!AE7/(Daten!AC7-Daten!AD7),"-")</f>
        <v/>
      </c>
      <c r="E52" s="86">
        <f>IFERROR(Berechnung!BV7,"-")</f>
        <v/>
      </c>
      <c r="F52" s="86">
        <f>IFERROR(Berechnung!BU7,"-")</f>
        <v/>
      </c>
    </row>
  </sheetData>
  <mergeCells count="11">
    <mergeCell ref="B4:F4"/>
    <mergeCell ref="B39:F39"/>
    <mergeCell ref="B24:F24"/>
    <mergeCell ref="B2:F2"/>
    <mergeCell ref="B38:F38"/>
    <mergeCell ref="B19:F19"/>
    <mergeCell ref="B46:F46"/>
    <mergeCell ref="B1:F1"/>
    <mergeCell ref="B32:F32"/>
    <mergeCell ref="B26:F26"/>
    <mergeCell ref="B13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style="97" min="1" max="1"/>
    <col width="10" customWidth="1" style="97" min="2" max="2"/>
    <col width="12" customWidth="1" style="97" min="3" max="3"/>
    <col width="12" customWidth="1" style="97" min="4" max="4"/>
    <col width="14" customWidth="1" style="97" min="5" max="5"/>
    <col width="35" customWidth="1" style="97" min="6" max="6"/>
    <col width="18" customWidth="1" style="97" min="7" max="7"/>
    <col width="12" customWidth="1" style="97" min="8" max="8"/>
    <col width="35" customWidth="1" style="97" min="9" max="9"/>
    <col width="8" customWidth="1" style="97" min="10" max="10"/>
  </cols>
  <sheetData>
    <row r="1">
      <c r="A1" s="136" t="inlineStr">
        <is>
          <t>👥 PM-Stammdaten (Quelle der Wahrheit für PM-Liste)</t>
        </is>
      </c>
    </row>
    <row r="3" ht="60" customHeight="1" s="97">
      <c r="A3" s="137" t="inlineStr">
        <is>
          <t>Quelle der Wahrheit für die PM-Liste. Code liest beim Start automatisch.
➜ Neuen PM anlegen: einfach neue Zeile anhängen. Spalte 8 (Farbe), 9 (Token) und 10 (Aktiv) dürfen leer bleiben — werden beim nächsten Dashboard-Lauf automatisch befüllt. Token wird automatisch erzeugt und ins Excel zurückgeschrieben.</t>
        </is>
      </c>
    </row>
    <row r="5" ht="30" customHeight="1" s="97">
      <c r="A5" s="147" t="inlineStr">
        <is>
          <t>Name</t>
        </is>
      </c>
      <c r="B5" s="147" t="inlineStr">
        <is>
          <t>Wochenstd</t>
        </is>
      </c>
      <c r="C5" s="147" t="inlineStr">
        <is>
          <t>PM-Std Bundle</t>
        </is>
      </c>
      <c r="D5" s="147" t="inlineStr">
        <is>
          <t>Mindestgehalt</t>
        </is>
      </c>
      <c r="E5" s="147" t="inlineStr">
        <is>
          <t>Startdatum</t>
        </is>
      </c>
      <c r="F5" s="147" t="inlineStr">
        <is>
          <t>Bundle-Standorte</t>
        </is>
      </c>
      <c r="G5" s="147" t="inlineStr">
        <is>
          <t>Bundle-PMs</t>
        </is>
      </c>
      <c r="H5" s="147" t="inlineStr">
        <is>
          <t>Farbe (Hex)</t>
        </is>
      </c>
      <c r="I5" s="147" t="inlineStr">
        <is>
          <t>URL-Token (32-hex)</t>
        </is>
      </c>
      <c r="J5" s="147" t="inlineStr">
        <is>
          <t>Aktiv</t>
        </is>
      </c>
    </row>
    <row r="6">
      <c r="A6" s="137" t="inlineStr">
        <is>
          <t>Laura</t>
        </is>
      </c>
      <c r="B6" s="137" t="n">
        <v>40</v>
      </c>
      <c r="C6" s="137" t="n">
        <v>65</v>
      </c>
      <c r="D6" s="137" t="n">
        <v>45000</v>
      </c>
      <c r="E6" s="137" t="n"/>
      <c r="F6" s="137" t="inlineStr">
        <is>
          <t>Spandau, Mitte</t>
        </is>
      </c>
      <c r="G6" s="137" t="inlineStr">
        <is>
          <t>Laura, Max</t>
        </is>
      </c>
      <c r="H6" s="137" t="inlineStr">
        <is>
          <t>#4CAF50</t>
        </is>
      </c>
      <c r="I6" s="137" t="inlineStr">
        <is>
          <t>8278b207ba9e80605ae5f1604d696759</t>
        </is>
      </c>
      <c r="J6" s="137" t="b">
        <v>1</v>
      </c>
    </row>
    <row r="7">
      <c r="A7" s="137" t="inlineStr">
        <is>
          <t>Marleen</t>
        </is>
      </c>
      <c r="B7" s="137" t="n">
        <v>40</v>
      </c>
      <c r="C7" s="137" t="n">
        <v>80</v>
      </c>
      <c r="D7" s="137" t="n">
        <v>45000</v>
      </c>
      <c r="E7" s="137" t="n"/>
      <c r="F7" s="137" t="inlineStr">
        <is>
          <t>Friedrichshain, Charlottenburg, Prenzlauer Berg</t>
        </is>
      </c>
      <c r="G7" s="137" t="inlineStr">
        <is>
          <t>Marleen, Luise</t>
        </is>
      </c>
      <c r="H7" s="137" t="inlineStr">
        <is>
          <t>#2196F3</t>
        </is>
      </c>
      <c r="I7" s="137" t="inlineStr">
        <is>
          <t>0093979f8cf4df0f67ec20b6e35e6beb</t>
        </is>
      </c>
      <c r="J7" s="137" t="b">
        <v>1</v>
      </c>
    </row>
    <row r="8">
      <c r="A8" s="137" t="inlineStr">
        <is>
          <t>Luise</t>
        </is>
      </c>
      <c r="B8" s="137" t="n">
        <v>40</v>
      </c>
      <c r="C8" s="137" t="n">
        <v>80</v>
      </c>
      <c r="D8" s="137" t="n">
        <v>40000</v>
      </c>
      <c r="E8" s="137" t="inlineStr">
        <is>
          <t>2026-02-01</t>
        </is>
      </c>
      <c r="F8" s="137" t="inlineStr">
        <is>
          <t>Friedrichshain, Charlottenburg, Prenzlauer Berg</t>
        </is>
      </c>
      <c r="G8" s="137" t="inlineStr">
        <is>
          <t>Marleen, Luise</t>
        </is>
      </c>
      <c r="H8" s="137" t="inlineStr">
        <is>
          <t>#9C27B0</t>
        </is>
      </c>
      <c r="I8" s="137" t="inlineStr">
        <is>
          <t>52981192518b734a346928ed713bc015</t>
        </is>
      </c>
      <c r="J8" s="137" t="b">
        <v>1</v>
      </c>
    </row>
    <row r="9">
      <c r="A9" s="137" t="inlineStr">
        <is>
          <t>Max</t>
        </is>
      </c>
      <c r="B9" s="137" t="n">
        <v>26</v>
      </c>
      <c r="C9" s="137" t="n">
        <v>65</v>
      </c>
      <c r="D9" s="137" t="n">
        <v>40000</v>
      </c>
      <c r="E9" s="137" t="inlineStr">
        <is>
          <t>2026-02-01</t>
        </is>
      </c>
      <c r="F9" s="137" t="inlineStr">
        <is>
          <t>Spandau, Mitte</t>
        </is>
      </c>
      <c r="G9" s="137" t="inlineStr">
        <is>
          <t>Laura, Max</t>
        </is>
      </c>
      <c r="H9" s="137" t="inlineStr">
        <is>
          <t>#FF9800</t>
        </is>
      </c>
      <c r="I9" s="137" t="inlineStr">
        <is>
          <t>5051837ce5b8f243f109306f60136f17</t>
        </is>
      </c>
      <c r="J9" s="137" t="b">
        <v>1</v>
      </c>
    </row>
    <row r="11">
      <c r="A11" s="162" t="inlineStr">
        <is>
          <t>Auto-Befüllung beim Dashboard-Lauf:</t>
        </is>
      </c>
    </row>
    <row r="12">
      <c r="A12" s="163" t="inlineStr">
        <is>
          <t>• Spalte 8 leer → Default-Farbe #0D595A (Vacura-Teal)</t>
        </is>
      </c>
    </row>
    <row r="13">
      <c r="A13" s="163" t="inlineStr">
        <is>
          <t>• Spalte 9 leer → Token wird per secrets.token_hex(16) erzeugt + hier eingetragen</t>
        </is>
      </c>
    </row>
    <row r="14">
      <c r="A14" s="163" t="inlineStr">
        <is>
          <t>• Spalte 10 leer → Aktiv=Ja angenommen. Auf FALSE setzen um PM zu deaktivieren (z.B. Austritt)</t>
        </is>
      </c>
    </row>
    <row r="15">
      <c r="A15" s="163" t="inlineStr">
        <is>
          <t>• Plus: Daten-Tab Stammdaten-Spalten 1-6 werden parallel gespiegelt, falls dort noch keine Zeile</t>
        </is>
      </c>
    </row>
  </sheetData>
  <mergeCells count="3">
    <mergeCell ref="A3:J3"/>
    <mergeCell ref="A1:J1"/>
    <mergeCell ref="A12:J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9800"/>
    <outlinePr summaryBelow="1" summaryRight="1"/>
    <pageSetUpPr/>
  </sheetPr>
  <dimension ref="B1:F52"/>
  <sheetViews>
    <sheetView showGridLines="0" workbookViewId="0">
      <selection activeCell="A1" sqref="A1"/>
    </sheetView>
  </sheetViews>
  <sheetFormatPr baseColWidth="10" defaultColWidth="8.83203125" defaultRowHeight="15"/>
  <cols>
    <col width="2" customWidth="1" style="97" min="1" max="1"/>
    <col width="32" customWidth="1" style="97" min="2" max="2"/>
    <col width="26" customWidth="1" style="97" min="3" max="3"/>
    <col width="24" customWidth="1" style="97" min="4" max="4"/>
    <col width="20" customWidth="1" style="97" min="5" max="6"/>
  </cols>
  <sheetData>
    <row r="1" ht="40" customHeight="1" s="97">
      <c r="B1" s="106" t="inlineStr">
        <is>
          <t>Max — Dein Gehaltsmodell</t>
        </is>
      </c>
    </row>
    <row r="2" ht="22" customHeight="1" s="97">
      <c r="B2" s="107" t="inlineStr">
        <is>
          <t>Deine persönliche Übersicht — Gehalt, Stufe und was du für die nächste Stufe brauchst.</t>
        </is>
      </c>
    </row>
    <row r="4" ht="26" customHeight="1" s="97">
      <c r="B4" s="100" t="inlineStr">
        <is>
          <t>1. Du und dein Bundle</t>
        </is>
      </c>
    </row>
    <row r="6" ht="22" customHeight="1" s="97">
      <c r="B6" s="69" t="inlineStr">
        <is>
          <t>Name:</t>
        </is>
      </c>
      <c r="D6" s="70">
        <f>Daten!B8</f>
        <v/>
      </c>
    </row>
    <row r="7" ht="22" customHeight="1" s="97">
      <c r="B7" s="69" t="inlineStr">
        <is>
          <t>Dein Bundle:</t>
        </is>
      </c>
      <c r="D7" s="70" t="inlineStr">
        <is>
          <t>Spandau, Mitte</t>
        </is>
      </c>
    </row>
    <row r="8" ht="22" customHeight="1" s="97">
      <c r="B8" s="69" t="inlineStr">
        <is>
          <t>Wochenstunden:</t>
        </is>
      </c>
      <c r="D8" s="114">
        <f>Daten!C8</f>
        <v/>
      </c>
    </row>
    <row r="9" ht="22" customHeight="1" s="97">
      <c r="B9" s="69" t="inlineStr">
        <is>
          <t>Startdatum:</t>
        </is>
      </c>
      <c r="D9" s="70">
        <f>IFERROR(TEXT(Daten!A8,"DD.MM.YYYY"),"(seit Anfang)")</f>
        <v/>
      </c>
    </row>
    <row r="10" ht="22" customHeight="1" s="97">
      <c r="B10" s="69" t="inlineStr">
        <is>
          <t>Mindestgehalt pro Jahr:</t>
        </is>
      </c>
      <c r="D10" s="72">
        <f>Daten!F8</f>
        <v/>
      </c>
    </row>
    <row r="13" ht="26" customHeight="1" s="97">
      <c r="B13" s="100" t="inlineStr">
        <is>
          <t>2. Dein aktuelles Gehalt (letztes abgeschlossenes Quartal: Q1 2026)</t>
        </is>
      </c>
    </row>
    <row r="15" ht="36" customHeight="1" s="97">
      <c r="B15" s="69" t="inlineStr">
        <is>
          <t>Dein Monatsgehalt (ab Q2 2026):</t>
        </is>
      </c>
      <c r="D15" s="73">
        <f>IFERROR(Berechnung!T8,"(fehlt Zufr-Wert)")</f>
        <v/>
      </c>
    </row>
    <row r="16" ht="24" customHeight="1" s="97">
      <c r="B16" s="69" t="inlineStr">
        <is>
          <t>Stufe:</t>
        </is>
      </c>
      <c r="D16" s="70">
        <f>IFERROR(Berechnung!O8 &amp; " - " &amp; Berechnung!P8,"")</f>
        <v/>
      </c>
    </row>
    <row r="17" ht="24" customHeight="1" s="97">
      <c r="B17" s="69" t="inlineStr">
        <is>
          <t>Jahresgehalt:</t>
        </is>
      </c>
      <c r="D17" s="72">
        <f>IFERROR(Berechnung!S8,"")</f>
        <v/>
      </c>
    </row>
    <row r="19" ht="26" customHeight="1" s="97">
      <c r="B19" s="100" t="inlineStr">
        <is>
          <t>3. Warum diese Stufe?</t>
        </is>
      </c>
    </row>
    <row r="21" ht="30" customHeight="1" s="97">
      <c r="B21" s="69" t="inlineStr">
        <is>
          <t>Dein Leistungsindex (€/60min Therapie):</t>
        </is>
      </c>
      <c r="D21" s="115">
        <f>IFERROR(Daten!J8/(Daten!H8-Daten!I8),"")</f>
        <v/>
      </c>
    </row>
    <row r="22" ht="24" customHeight="1" s="97">
      <c r="B22" s="69" t="inlineStr">
        <is>
          <t>Deine Team-Zufriedenheit (0-10):</t>
        </is>
      </c>
      <c r="D22" s="75">
        <f>IFERROR(Berechnung!C8,"(fehlt Umfrage-Wert)")</f>
        <v/>
      </c>
    </row>
    <row r="24" ht="28" customHeight="1" s="97">
      <c r="B24" s="102" t="inlineStr">
        <is>
          <t>Deine erreichte Stufe ergibt sich, wenn BEIDE Werte oben den Schwellen entsprechen (siehe Modell-Tab).</t>
        </is>
      </c>
    </row>
    <row r="26" ht="26" customHeight="1" s="97">
      <c r="B26" s="100" t="inlineStr">
        <is>
          <t>4. Was bringt dir die nächste Stufe?</t>
        </is>
      </c>
    </row>
    <row r="28" ht="24" customHeight="1" s="97">
      <c r="B28" s="69" t="inlineStr">
        <is>
          <t>Nächste erreichbare Stufe:</t>
        </is>
      </c>
      <c r="D28" s="76">
        <f>IFERROR((IF(IFERROR(Berechnung!O8,0)&lt;6,IFERROR(Berechnung!O8,0)+1,6)) &amp; " - " &amp; INDEX({"Basis";"Gut";"Stark";"Sehr stark";"Exzellent";"Herausragend"},IF(IFERROR(Berechnung!O8,0)&lt;6,IFERROR(Berechnung!O8,0)+1,6)),"")</f>
        <v/>
      </c>
    </row>
    <row r="29" ht="32" customHeight="1" s="97">
      <c r="B29" s="69" t="inlineStr">
        <is>
          <t>Mehr pro Monat (Δ):</t>
        </is>
      </c>
      <c r="D29" s="116">
        <f>IFERROR(Berechnung!T8*((IFERROR(INDEX(Stufentabelle!E2:E7,IF(IFERROR(Berechnung!O8,0)&lt;6,IFERROR(Berechnung!O8,0)+1,6)),0))-(IFERROR(INDEX(Stufentabelle!E2:E7,Berechnung!O8),0)))/(1+(IFERROR(INDEX(Stufentabelle!E2:E7,Berechnung!O8),0))),"")</f>
        <v/>
      </c>
    </row>
    <row r="30" ht="24" customHeight="1" s="97">
      <c r="B30" s="69" t="inlineStr">
        <is>
          <t>Mehr pro Jahr (Δ):</t>
        </is>
      </c>
      <c r="D30" s="117">
        <f>IFERROR(Berechnung!S8*((IFERROR(INDEX(Stufentabelle!E2:E7,IF(IFERROR(Berechnung!O8,0)&lt;6,IFERROR(Berechnung!O8,0)+1,6)),0))-(IFERROR(INDEX(Stufentabelle!E2:E7,Berechnung!O8),0)))/(1+(IFERROR(INDEX(Stufentabelle!E2:E7,Berechnung!O8),0))),"")</f>
        <v/>
      </c>
    </row>
    <row r="32" ht="26" customHeight="1" s="97">
      <c r="B32" s="100" t="inlineStr">
        <is>
          <t>5. Was fehlt dir für die nächste Stufe?</t>
        </is>
      </c>
    </row>
    <row r="34" ht="24" customHeight="1" s="97">
      <c r="B34" s="69" t="inlineStr">
        <is>
          <t>Zielwert €/60min:</t>
        </is>
      </c>
      <c r="D34" s="118">
        <f>IFERROR(INDEX(Stufentabelle!F2:F7,IF(IFERROR(Berechnung!O8,0)&lt;6,IFERROR(Berechnung!O8,0)+1,6)),"")</f>
        <v/>
      </c>
    </row>
    <row r="35" ht="24" customHeight="1" s="97">
      <c r="B35" s="69" t="inlineStr">
        <is>
          <t>Fehlt dir pro Therapie-Stunde:</t>
        </is>
      </c>
      <c r="D35" s="119">
        <f>IFERROR(MAX(0,(INDEX(Stufentabelle!F2:F7,IF(IFERROR(Berechnung!O8,0)&lt;6,IFERROR(Berechnung!O8,0)+1,6)))-(Daten!J8/(Daten!H8-Daten!I8))),"")</f>
        <v/>
      </c>
    </row>
    <row r="36" ht="32" customHeight="1" s="97">
      <c r="B36" s="69" t="inlineStr">
        <is>
          <t>In Bundle-Umsatz pro Monat:</t>
        </is>
      </c>
      <c r="D36" s="120">
        <f>IFERROR(MAX(0,((INDEX(Stufentabelle!F2:F7,IF(IFERROR(Berechnung!O8,0)&lt;6,IFERROR(Berechnung!O8,0)+1,6)))*(Daten!H8-Daten!I8)-Daten!J8)/3),"")</f>
        <v/>
      </c>
    </row>
    <row r="38" ht="26" customHeight="1" s="97">
      <c r="B38" s="100" t="inlineStr">
        <is>
          <t>6. Hebel — so schaffst du das</t>
        </is>
      </c>
    </row>
    <row r="39" ht="20" customHeight="1" s="97">
      <c r="B39" s="102" t="inlineStr">
        <is>
          <t>Hinweis: Effekte sind Orientierungswerte (grobe Rechnung), keine exakten Prognosen.</t>
        </is>
      </c>
    </row>
    <row r="40" ht="30" customHeight="1" s="97">
      <c r="B40" s="57" t="inlineStr">
        <is>
          <t>Hebel</t>
        </is>
      </c>
      <c r="C40" s="57" t="inlineStr">
        <is>
          <t>Effekt</t>
        </is>
      </c>
      <c r="D40" s="57" t="inlineStr">
        <is>
          <t>Praktisch</t>
        </is>
      </c>
    </row>
    <row r="41" ht="30" customHeight="1" s="97">
      <c r="B41" s="82" t="inlineStr">
        <is>
          <t>Mehr Termine pro Woche</t>
        </is>
      </c>
      <c r="C41" s="82" t="inlineStr">
        <is>
          <t>+10 Termine/Wo ≈ +3 % Umsatz</t>
        </is>
      </c>
      <c r="D41" s="82" t="inlineStr">
        <is>
          <t>Auslastung hoch, Neukunden, Slots besser nutzen</t>
        </is>
      </c>
    </row>
    <row r="42" ht="30" customHeight="1" s="97">
      <c r="B42" s="83" t="inlineStr">
        <is>
          <t>Mehr PKV-Anteil</t>
        </is>
      </c>
      <c r="C42" s="83" t="inlineStr">
        <is>
          <t>+1 %-Pkt PKV ≈ +0,7 % Umsatz</t>
        </is>
      </c>
      <c r="D42" s="83" t="inlineStr">
        <is>
          <t>Privatpatienten aktiv gewinnen (1,7× Tarif)</t>
        </is>
      </c>
    </row>
    <row r="43" ht="30" customHeight="1" s="97">
      <c r="B43" s="82" t="inlineStr">
        <is>
          <t>Weniger Krankenstand</t>
        </is>
      </c>
      <c r="C43" s="82" t="inlineStr">
        <is>
          <t>−1 %-Pkt Krank ≈ +0,5 % Umsatz</t>
        </is>
      </c>
      <c r="D43" s="82" t="inlineStr">
        <is>
          <t>Team-Gesundheit, gute Urlaubsplanung</t>
        </is>
      </c>
    </row>
    <row r="46" ht="26" customHeight="1" s="97">
      <c r="B46" s="100" t="inlineStr">
        <is>
          <t>7. Deine Entwicklung über die Quartale</t>
        </is>
      </c>
    </row>
    <row r="48" ht="22" customHeight="1" s="97">
      <c r="B48" s="57" t="inlineStr">
        <is>
          <t>Quartal</t>
        </is>
      </c>
      <c r="C48" s="57" t="inlineStr">
        <is>
          <t>Stufe</t>
        </is>
      </c>
      <c r="D48" s="57" t="inlineStr">
        <is>
          <t>€/60min</t>
        </is>
      </c>
      <c r="E48" s="57" t="inlineStr">
        <is>
          <t>Monatsgehalt</t>
        </is>
      </c>
      <c r="F48" s="57" t="inlineStr">
        <is>
          <t>Jahresgehalt</t>
        </is>
      </c>
    </row>
    <row r="49" ht="22" customHeight="1" s="97">
      <c r="B49" s="70" t="inlineStr">
        <is>
          <t>Q1 2026</t>
        </is>
      </c>
      <c r="C49" s="84">
        <f>IFERROR(Berechnung!O8 &amp; " - " &amp; Berechnung!P8,"-")</f>
        <v/>
      </c>
      <c r="D49" s="121">
        <f>IFERROR(Daten!J8/(Daten!H8-Daten!I8),"-")</f>
        <v/>
      </c>
      <c r="E49" s="86">
        <f>IFERROR(Berechnung!T8,"-")</f>
        <v/>
      </c>
      <c r="F49" s="86">
        <f>IFERROR(Berechnung!S8,"-")</f>
        <v/>
      </c>
    </row>
    <row r="50" ht="22" customHeight="1" s="97">
      <c r="B50" s="70" t="inlineStr">
        <is>
          <t>Q2 2026</t>
        </is>
      </c>
      <c r="C50" s="84">
        <f>IFERROR(Berechnung!AG8 &amp; " - " &amp; Berechnung!AH8,"-")</f>
        <v/>
      </c>
      <c r="D50" s="121">
        <f>IFERROR(Daten!Q8/(Daten!O8-Daten!P8),"-")</f>
        <v/>
      </c>
      <c r="E50" s="86">
        <f>IFERROR(Berechnung!AL8,"-")</f>
        <v/>
      </c>
      <c r="F50" s="86">
        <f>IFERROR(Berechnung!AK8,"-")</f>
        <v/>
      </c>
    </row>
    <row r="51" ht="22" customHeight="1" s="97">
      <c r="B51" s="70" t="inlineStr">
        <is>
          <t>Q3 2026</t>
        </is>
      </c>
      <c r="C51" s="84">
        <f>IFERROR(Berechnung!AY8 &amp; " - " &amp; Berechnung!AZ8,"-")</f>
        <v/>
      </c>
      <c r="D51" s="121">
        <f>IFERROR(Daten!X8/(Daten!V8-Daten!W8),"-")</f>
        <v/>
      </c>
      <c r="E51" s="86">
        <f>IFERROR(Berechnung!BD8,"-")</f>
        <v/>
      </c>
      <c r="F51" s="86">
        <f>IFERROR(Berechnung!BC8,"-")</f>
        <v/>
      </c>
    </row>
    <row r="52" ht="22" customHeight="1" s="97">
      <c r="B52" s="70" t="inlineStr">
        <is>
          <t>Q4 2026</t>
        </is>
      </c>
      <c r="C52" s="84">
        <f>IFERROR(Berechnung!BQ8 &amp; " - " &amp; Berechnung!BR8,"-")</f>
        <v/>
      </c>
      <c r="D52" s="121">
        <f>IFERROR(Daten!AE8/(Daten!AC8-Daten!AD8),"-")</f>
        <v/>
      </c>
      <c r="E52" s="86">
        <f>IFERROR(Berechnung!BV8,"-")</f>
        <v/>
      </c>
      <c r="F52" s="86">
        <f>IFERROR(Berechnung!BU8,"-")</f>
        <v/>
      </c>
    </row>
  </sheetData>
  <mergeCells count="11">
    <mergeCell ref="B4:F4"/>
    <mergeCell ref="B39:F39"/>
    <mergeCell ref="B24:F24"/>
    <mergeCell ref="B2:F2"/>
    <mergeCell ref="B38:F38"/>
    <mergeCell ref="B19:F19"/>
    <mergeCell ref="B46:F46"/>
    <mergeCell ref="B1:F1"/>
    <mergeCell ref="B32:F32"/>
    <mergeCell ref="B26:F26"/>
    <mergeCell ref="B13:F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E19" sqref="E19"/>
    </sheetView>
  </sheetViews>
  <sheetFormatPr baseColWidth="10" defaultColWidth="8.83203125" defaultRowHeight="15"/>
  <cols>
    <col width="14" customWidth="1" style="97" min="1" max="1"/>
    <col width="48" customWidth="1" style="97" min="2" max="2"/>
    <col width="13" customWidth="1" style="97" min="3" max="3"/>
    <col width="16" customWidth="1" style="97" min="4" max="4"/>
    <col width="14" customWidth="1" style="97" min="5" max="5"/>
    <col width="18" customWidth="1" style="97" min="6" max="7"/>
    <col width="22" customWidth="1" style="97" min="8" max="8"/>
    <col width="18" customWidth="1" style="97" min="9" max="10"/>
  </cols>
  <sheetData>
    <row r="1" ht="34" customHeight="1" s="97">
      <c r="A1" s="99" t="inlineStr">
        <is>
          <t>PM-Gehaltsmodell · Dashboard</t>
        </is>
      </c>
    </row>
    <row r="2" ht="22" customHeight="1" s="97">
      <c r="A2" s="98" t="inlineStr">
        <is>
          <t>Übersicht über alle PMs — Stufe und Monatsgehalt aktuelles Quartal (Q1 2026 = Quelle für Q2-Gehalt)</t>
        </is>
      </c>
    </row>
    <row r="4" ht="30" customHeight="1" s="97">
      <c r="A4" s="49" t="inlineStr">
        <is>
          <t>PM</t>
        </is>
      </c>
      <c r="B4" s="49" t="inlineStr">
        <is>
          <t>Bundle</t>
        </is>
      </c>
      <c r="C4" s="49" t="inlineStr">
        <is>
          <t>Wochenstd.</t>
        </is>
      </c>
      <c r="D4" s="57" t="inlineStr">
        <is>
          <t>€/60min Therapie</t>
        </is>
      </c>
      <c r="E4" s="88" t="inlineStr">
        <is>
          <t>TH (zuständig)</t>
        </is>
      </c>
      <c r="F4" s="88" t="inlineStr">
        <is>
          <t>Zufriedenheits-Score</t>
        </is>
      </c>
      <c r="G4" s="89" t="inlineStr">
        <is>
          <t>Q1 Leistungsindex</t>
        </is>
      </c>
      <c r="H4" s="89" t="inlineStr">
        <is>
          <t>Q1 Stufe</t>
        </is>
      </c>
      <c r="I4" s="89" t="inlineStr">
        <is>
          <t>Monatsgehalt Q2</t>
        </is>
      </c>
      <c r="J4" s="89" t="inlineStr">
        <is>
          <t>Jahresgehalt Q2</t>
        </is>
      </c>
    </row>
    <row r="5" ht="28" customHeight="1" s="97">
      <c r="A5" s="50">
        <f>Daten!B5</f>
        <v/>
      </c>
      <c r="B5" s="51" t="inlineStr">
        <is>
          <t>Laura + Max (Spandau, Mitte)</t>
        </is>
      </c>
      <c r="C5" s="122">
        <f>Daten!C5</f>
        <v/>
      </c>
      <c r="D5" s="123">
        <f>IFERROR(Daten!J5/(Daten!H5-Daten!I5),"")</f>
        <v/>
      </c>
      <c r="E5" s="90">
        <f>IFERROR(Berechnung!E5,"")</f>
        <v/>
      </c>
      <c r="F5" s="91">
        <f>IFERROR(Berechnung!C5,"")</f>
        <v/>
      </c>
      <c r="G5" s="92">
        <f>IFERROR(Berechnung!L5,"")</f>
        <v/>
      </c>
      <c r="H5" s="93">
        <f>IFERROR(Berechnung!O5 &amp; " - " &amp; Berechnung!P5,"")</f>
        <v/>
      </c>
      <c r="I5" s="94">
        <f>IFERROR(Berechnung!T5,"")</f>
        <v/>
      </c>
      <c r="J5" s="95">
        <f>IFERROR(Berechnung!S5,"")</f>
        <v/>
      </c>
    </row>
    <row r="6" ht="28" customHeight="1" s="97">
      <c r="A6" s="50">
        <f>Daten!B6</f>
        <v/>
      </c>
      <c r="B6" s="51" t="inlineStr">
        <is>
          <t>Marleen + Luise (Friedrichshain, Charlottenburg, Prenzlauer Berg)</t>
        </is>
      </c>
      <c r="C6" s="122">
        <f>Daten!C6</f>
        <v/>
      </c>
      <c r="D6" s="123">
        <f>IFERROR(Daten!J6/(Daten!H6-Daten!I6),"")</f>
        <v/>
      </c>
      <c r="E6" s="90">
        <f>IFERROR(Berechnung!E6,"")</f>
        <v/>
      </c>
      <c r="F6" s="91">
        <f>IFERROR(Berechnung!C6,"")</f>
        <v/>
      </c>
      <c r="G6" s="92">
        <f>IFERROR(Berechnung!L6,"")</f>
        <v/>
      </c>
      <c r="H6" s="93">
        <f>IFERROR(Berechnung!O6 &amp; " - " &amp; Berechnung!P6,"")</f>
        <v/>
      </c>
      <c r="I6" s="94">
        <f>IFERROR(Berechnung!T6,"")</f>
        <v/>
      </c>
      <c r="J6" s="95">
        <f>IFERROR(Berechnung!S6,"")</f>
        <v/>
      </c>
    </row>
    <row r="7" ht="28" customHeight="1" s="97">
      <c r="A7" s="50">
        <f>Daten!B7</f>
        <v/>
      </c>
      <c r="B7" s="51" t="inlineStr">
        <is>
          <t>Marleen + Luise (Friedrichshain, Charlottenburg, Prenzlauer Berg)</t>
        </is>
      </c>
      <c r="C7" s="122">
        <f>Daten!C7</f>
        <v/>
      </c>
      <c r="D7" s="123">
        <f>IFERROR(Daten!J7/(Daten!H7-Daten!I7),"")</f>
        <v/>
      </c>
      <c r="E7" s="90">
        <f>IFERROR(Berechnung!E7,"")</f>
        <v/>
      </c>
      <c r="F7" s="91">
        <f>IFERROR(Berechnung!C7,"")</f>
        <v/>
      </c>
      <c r="G7" s="92">
        <f>IFERROR(Berechnung!L7,"")</f>
        <v/>
      </c>
      <c r="H7" s="93">
        <f>IFERROR(Berechnung!O7 &amp; " - " &amp; Berechnung!P7,"")</f>
        <v/>
      </c>
      <c r="I7" s="94">
        <f>IFERROR(Berechnung!T7,"")</f>
        <v/>
      </c>
      <c r="J7" s="95">
        <f>IFERROR(Berechnung!S7,"")</f>
        <v/>
      </c>
    </row>
    <row r="8" ht="28" customHeight="1" s="97">
      <c r="A8" s="50">
        <f>Daten!B8</f>
        <v/>
      </c>
      <c r="B8" s="51" t="inlineStr">
        <is>
          <t>Laura + Max (Spandau, Mitte)</t>
        </is>
      </c>
      <c r="C8" s="122">
        <f>Daten!C8</f>
        <v/>
      </c>
      <c r="D8" s="123">
        <f>IFERROR(Daten!J8/(Daten!H8-Daten!I8),"")</f>
        <v/>
      </c>
      <c r="E8" s="90">
        <f>IFERROR(Berechnung!E8,"")</f>
        <v/>
      </c>
      <c r="F8" s="91">
        <f>IFERROR(Berechnung!C8,"")</f>
        <v/>
      </c>
      <c r="G8" s="92">
        <f>IFERROR(Berechnung!L8,"")</f>
        <v/>
      </c>
      <c r="H8" s="93">
        <f>IFERROR(Berechnung!O8 &amp; " - " &amp; Berechnung!P8,"")</f>
        <v/>
      </c>
      <c r="I8" s="94">
        <f>IFERROR(Berechnung!T8,"")</f>
        <v/>
      </c>
      <c r="J8" s="95">
        <f>IFERROR(Berechnung!S8,"")</f>
        <v/>
      </c>
    </row>
    <row r="10" ht="20" customHeight="1" s="97">
      <c r="A10" s="96" t="inlineStr">
        <is>
          <t>Wie lese ich das? Q1-Leistungsindex zeigt wie gut das Bundle im letzten Quartal performt hat. Die Q1-Stufe ergibt sich aus Leistungsindex + Teamzufriedenheits-Score und bestimmt die Zulage ab Q2. Monatsgehalt Q2 ist das neue Gehalt, das ab dem nächsten Quartal greift.</t>
        </is>
      </c>
    </row>
    <row r="11" ht="20" customHeight="1" s="97"/>
    <row r="12" ht="20" customHeight="1" s="97"/>
  </sheetData>
  <mergeCells count="3">
    <mergeCell ref="A10:J12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4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J18" sqref="J18"/>
    </sheetView>
  </sheetViews>
  <sheetFormatPr baseColWidth="10" defaultColWidth="8.83203125" defaultRowHeight="15"/>
  <cols>
    <col width="14" customWidth="1" style="97" min="1" max="1"/>
    <col width="13" customWidth="1" style="97" min="2" max="2"/>
    <col width="11" customWidth="1" style="97" min="3" max="3"/>
    <col width="14" customWidth="1" style="97" min="4" max="4"/>
    <col width="12" customWidth="1" style="97" min="5" max="5"/>
    <col width="14" customWidth="1" style="97" min="6" max="6"/>
    <col width="11" customWidth="1" style="97" min="7" max="7"/>
    <col width="13" customWidth="1" style="97" min="8" max="9"/>
    <col width="12" customWidth="1" style="97" min="10" max="10"/>
    <col width="8" customWidth="1" style="97" min="11" max="13"/>
    <col width="13.1640625" customWidth="1" style="97" min="14" max="14"/>
    <col width="13" customWidth="1" style="97" min="15" max="16"/>
    <col width="12" customWidth="1" style="97" min="17" max="17"/>
    <col width="8" customWidth="1" style="97" min="18" max="20"/>
    <col width="11" customWidth="1" style="97" min="21" max="21"/>
    <col width="13" customWidth="1" style="97" min="22" max="23"/>
    <col width="12" customWidth="1" style="97" min="24" max="24"/>
    <col width="8" customWidth="1" style="97" min="25" max="27"/>
    <col width="11" customWidth="1" style="97" min="28" max="28"/>
    <col width="13" customWidth="1" style="97" min="29" max="30"/>
    <col width="12" customWidth="1" style="97" min="31" max="31"/>
    <col width="8" customWidth="1" style="97" min="32" max="34"/>
    <col width="11" customWidth="1" style="97" min="35" max="35"/>
    <col width="13" customWidth="1" style="97" min="36" max="37"/>
    <col width="12" customWidth="1" style="97" min="38" max="38"/>
    <col width="8" customWidth="1" style="97" min="39" max="41"/>
    <col width="11" customWidth="1" style="97" min="42" max="42"/>
    <col width="13" customWidth="1" style="97" min="43" max="44"/>
    <col width="12" customWidth="1" style="97" min="45" max="45"/>
    <col width="8" customWidth="1" style="97" min="46" max="48"/>
    <col width="11" customWidth="1" style="97" min="49" max="49"/>
    <col width="13" customWidth="1" style="97" min="50" max="51"/>
    <col width="12" customWidth="1" style="97" min="52" max="52"/>
    <col width="8" customWidth="1" style="97" min="53" max="55"/>
    <col width="28" customWidth="1" style="97" min="56" max="56"/>
    <col width="26" customWidth="1" style="97" min="57" max="57"/>
    <col width="16" customWidth="1" style="97" min="58" max="58"/>
    <col width="32" customWidth="1" style="97" min="59" max="59"/>
  </cols>
  <sheetData>
    <row r="1" ht="28" customHeight="1" s="97">
      <c r="A1" s="110" t="inlineStr">
        <is>
          <t>PM-Gehaltsmodell · Vacura</t>
        </is>
      </c>
    </row>
    <row r="2" ht="28" customHeight="1" s="97">
      <c r="A2" s="109" t="inlineStr">
        <is>
          <t>GRAU = Stammdaten (du, statisch)   ·   🤖 GRÜN = Claude aus NocoDB   ·   ✏️ GELB = du aus Team-Umfrage   ·   ROSÉ = Bundle-Scope (du)     →   Details im Tab »Modell«</t>
        </is>
      </c>
    </row>
    <row r="3" ht="24" customHeight="1" s="97">
      <c r="A3" s="108" t="inlineStr">
        <is>
          <t>Stammdaten</t>
        </is>
      </c>
      <c r="G3" s="108" t="inlineStr">
        <is>
          <t>Q1 2026</t>
        </is>
      </c>
      <c r="N3" s="108" t="inlineStr">
        <is>
          <t>Q2 2026</t>
        </is>
      </c>
      <c r="U3" s="108" t="inlineStr">
        <is>
          <t>Q3 2026</t>
        </is>
      </c>
      <c r="AB3" s="108" t="inlineStr">
        <is>
          <t>Q4 2026</t>
        </is>
      </c>
      <c r="AI3" s="108" t="inlineStr">
        <is>
          <t>Q1 2027</t>
        </is>
      </c>
      <c r="AP3" s="108" t="inlineStr">
        <is>
          <t>Q2 2027</t>
        </is>
      </c>
      <c r="AW3" s="108" t="inlineStr">
        <is>
          <t>Q3 2027</t>
        </is>
      </c>
      <c r="BD3" s="108" t="inlineStr">
        <is>
          <t>Bundle-Scope</t>
        </is>
      </c>
    </row>
    <row r="4" ht="42" customHeight="1" s="97">
      <c r="A4" s="22" t="inlineStr">
        <is>
          <t>Startdatum</t>
        </is>
      </c>
      <c r="B4" s="22" t="inlineStr">
        <is>
          <t>Name</t>
        </is>
      </c>
      <c r="C4" s="22" t="inlineStr">
        <is>
          <t>Wochenstd.</t>
        </is>
      </c>
      <c r="D4" s="22" t="inlineStr">
        <is>
          <t>PM-Std. Bundle</t>
        </is>
      </c>
      <c r="E4" s="22" t="inlineStr">
        <is>
          <t>Stufe Vorquartal</t>
        </is>
      </c>
      <c r="F4" s="22" t="inlineStr">
        <is>
          <t>Mindestgehalt</t>
        </is>
      </c>
      <c r="G4" s="23" t="inlineStr">
        <is>
          <t>🤖 Claude: VStd (Bundle)</t>
        </is>
      </c>
      <c r="H4" s="22" t="inlineStr">
        <is>
          <t>🤖 Claude: VStd (bereinigt)</t>
        </is>
      </c>
      <c r="I4" s="22" t="inlineStr">
        <is>
          <t>🤖 Claude: Abw. (bereinigt)</t>
        </is>
      </c>
      <c r="J4" s="22" t="inlineStr">
        <is>
          <t>🤖 Claude: IST-Umsatz</t>
        </is>
      </c>
      <c r="K4" s="22" t="inlineStr">
        <is>
          <t>✏️ du: Rücken Ø</t>
        </is>
      </c>
      <c r="L4" s="22" t="inlineStr">
        <is>
          <t>✏️ du: Komm. Ø</t>
        </is>
      </c>
      <c r="M4" s="24" t="inlineStr">
        <is>
          <t>✏️ du: eNPS Ø</t>
        </is>
      </c>
      <c r="N4" s="23" t="inlineStr">
        <is>
          <t>🤖 Claude: VStd (Bundle)</t>
        </is>
      </c>
      <c r="O4" s="22" t="inlineStr">
        <is>
          <t>🤖 Claude: VStd (bereinigt)</t>
        </is>
      </c>
      <c r="P4" s="22" t="inlineStr">
        <is>
          <t>🤖 Claude: Abw. (bereinigt)</t>
        </is>
      </c>
      <c r="Q4" s="22" t="inlineStr">
        <is>
          <t>🤖 Claude: IST-Umsatz</t>
        </is>
      </c>
      <c r="R4" s="22" t="inlineStr">
        <is>
          <t>✏️ du: Rücken Ø</t>
        </is>
      </c>
      <c r="S4" s="22" t="inlineStr">
        <is>
          <t>✏️ du: Komm. Ø</t>
        </is>
      </c>
      <c r="T4" s="24" t="inlineStr">
        <is>
          <t>✏️ du: eNPS Ø</t>
        </is>
      </c>
      <c r="U4" s="23" t="inlineStr">
        <is>
          <t>🤖 Claude: VStd (Bundle)</t>
        </is>
      </c>
      <c r="V4" s="22" t="inlineStr">
        <is>
          <t>🤖 Claude: VStd (bereinigt)</t>
        </is>
      </c>
      <c r="W4" s="22" t="inlineStr">
        <is>
          <t>🤖 Claude: Abw. (bereinigt)</t>
        </is>
      </c>
      <c r="X4" s="22" t="inlineStr">
        <is>
          <t>🤖 Claude: IST-Umsatz</t>
        </is>
      </c>
      <c r="Y4" s="22" t="inlineStr">
        <is>
          <t>✏️ du: Rücken Ø</t>
        </is>
      </c>
      <c r="Z4" s="22" t="inlineStr">
        <is>
          <t>✏️ du: Komm. Ø</t>
        </is>
      </c>
      <c r="AA4" s="24" t="inlineStr">
        <is>
          <t>✏️ du: eNPS Ø</t>
        </is>
      </c>
      <c r="AB4" s="23" t="inlineStr">
        <is>
          <t>🤖 Claude: VStd (Bundle)</t>
        </is>
      </c>
      <c r="AC4" s="22" t="inlineStr">
        <is>
          <t>🤖 Claude: VStd (bereinigt)</t>
        </is>
      </c>
      <c r="AD4" s="22" t="inlineStr">
        <is>
          <t>🤖 Claude: Abw. (bereinigt)</t>
        </is>
      </c>
      <c r="AE4" s="22" t="inlineStr">
        <is>
          <t>🤖 Claude: IST-Umsatz</t>
        </is>
      </c>
      <c r="AF4" s="22" t="inlineStr">
        <is>
          <t>✏️ du: Rücken Ø</t>
        </is>
      </c>
      <c r="AG4" s="22" t="inlineStr">
        <is>
          <t>✏️ du: Komm. Ø</t>
        </is>
      </c>
      <c r="AH4" s="24" t="inlineStr">
        <is>
          <t>✏️ du: eNPS Ø</t>
        </is>
      </c>
      <c r="AI4" s="23" t="inlineStr">
        <is>
          <t>🤖 Claude: VStd (Bundle)</t>
        </is>
      </c>
      <c r="AJ4" s="22" t="inlineStr">
        <is>
          <t>🤖 Claude: VStd (bereinigt)</t>
        </is>
      </c>
      <c r="AK4" s="22" t="inlineStr">
        <is>
          <t>🤖 Claude: Abw. (bereinigt)</t>
        </is>
      </c>
      <c r="AL4" s="22" t="inlineStr">
        <is>
          <t>🤖 Claude: IST-Umsatz</t>
        </is>
      </c>
      <c r="AM4" s="22" t="inlineStr">
        <is>
          <t>✏️ du: Rücken Ø</t>
        </is>
      </c>
      <c r="AN4" s="22" t="inlineStr">
        <is>
          <t>✏️ du: Komm. Ø</t>
        </is>
      </c>
      <c r="AO4" s="24" t="inlineStr">
        <is>
          <t>✏️ du: eNPS Ø</t>
        </is>
      </c>
      <c r="AP4" s="23" t="inlineStr">
        <is>
          <t>🤖 Claude: VStd (Bundle)</t>
        </is>
      </c>
      <c r="AQ4" s="22" t="inlineStr">
        <is>
          <t>🤖 Claude: VStd (bereinigt)</t>
        </is>
      </c>
      <c r="AR4" s="22" t="inlineStr">
        <is>
          <t>🤖 Claude: Abw. (bereinigt)</t>
        </is>
      </c>
      <c r="AS4" s="22" t="inlineStr">
        <is>
          <t>🤖 Claude: IST-Umsatz</t>
        </is>
      </c>
      <c r="AT4" s="22" t="inlineStr">
        <is>
          <t>✏️ du: Rücken Ø</t>
        </is>
      </c>
      <c r="AU4" s="22" t="inlineStr">
        <is>
          <t>✏️ du: Komm. Ø</t>
        </is>
      </c>
      <c r="AV4" s="24" t="inlineStr">
        <is>
          <t>✏️ du: eNPS Ø</t>
        </is>
      </c>
      <c r="AW4" s="23" t="inlineStr">
        <is>
          <t>🤖 Claude: VStd (Bundle)</t>
        </is>
      </c>
      <c r="AX4" s="22" t="inlineStr">
        <is>
          <t>🤖 Claude: VStd (bereinigt)</t>
        </is>
      </c>
      <c r="AY4" s="22" t="inlineStr">
        <is>
          <t>🤖 Claude: Abw. (bereinigt)</t>
        </is>
      </c>
      <c r="AZ4" s="22" t="inlineStr">
        <is>
          <t>🤖 Claude: IST-Umsatz</t>
        </is>
      </c>
      <c r="BA4" s="22" t="inlineStr">
        <is>
          <t>✏️ du: Rücken Ø</t>
        </is>
      </c>
      <c r="BB4" s="22" t="inlineStr">
        <is>
          <t>✏️ du: Komm. Ø</t>
        </is>
      </c>
      <c r="BC4" s="24" t="inlineStr">
        <is>
          <t>✏️ du: eNPS Ø</t>
        </is>
      </c>
      <c r="BD4" s="23" t="inlineStr">
        <is>
          <t>Standorte (Bundle)</t>
        </is>
      </c>
      <c r="BE4" s="22" t="inlineStr">
        <is>
          <t>TH-Namen (optional)</t>
        </is>
      </c>
      <c r="BF4" s="22" t="inlineStr">
        <is>
          <t>Wochenstd. Bundle</t>
        </is>
      </c>
      <c r="BG4" s="24" t="inlineStr">
        <is>
          <t>Notizen</t>
        </is>
      </c>
    </row>
    <row r="5" ht="22" customHeight="1" s="97">
      <c r="A5" s="25" t="n"/>
      <c r="B5" s="26" t="inlineStr">
        <is>
          <t>Laura</t>
        </is>
      </c>
      <c r="C5" s="27" t="n">
        <v>40</v>
      </c>
      <c r="D5" s="27" t="n">
        <v>65</v>
      </c>
      <c r="E5" s="27" t="n">
        <v>1</v>
      </c>
      <c r="F5" s="28" t="n">
        <v>45000</v>
      </c>
      <c r="G5" s="124" t="n">
        <v>4924</v>
      </c>
      <c r="H5" s="125" t="n">
        <v>4686.3</v>
      </c>
      <c r="I5" s="125" t="n">
        <v>554.8</v>
      </c>
      <c r="J5" s="31" t="n">
        <v>291941</v>
      </c>
      <c r="K5" s="32" t="n">
        <v>8.5</v>
      </c>
      <c r="L5" s="32" t="n">
        <v>8</v>
      </c>
      <c r="M5" s="33" t="n">
        <v>8.699999999999999</v>
      </c>
      <c r="N5" s="124" t="n"/>
      <c r="O5" s="125" t="n"/>
      <c r="P5" s="125" t="n"/>
      <c r="Q5" s="31" t="n"/>
      <c r="R5" s="32" t="n"/>
      <c r="S5" s="32" t="n"/>
      <c r="T5" s="33" t="n"/>
      <c r="U5" s="124" t="n"/>
      <c r="V5" s="125" t="n"/>
      <c r="W5" s="125" t="n"/>
      <c r="X5" s="31" t="n"/>
      <c r="Y5" s="32" t="n"/>
      <c r="Z5" s="32" t="n"/>
      <c r="AA5" s="33" t="n"/>
      <c r="AB5" s="124" t="n"/>
      <c r="AC5" s="125" t="n"/>
      <c r="AD5" s="125" t="n"/>
      <c r="AE5" s="31" t="n"/>
      <c r="AF5" s="32" t="n"/>
      <c r="AG5" s="32" t="n"/>
      <c r="AH5" s="33" t="n"/>
      <c r="AI5" s="124" t="n"/>
      <c r="AJ5" s="125" t="n"/>
      <c r="AK5" s="125" t="n"/>
      <c r="AL5" s="31" t="n"/>
      <c r="AM5" s="32" t="n"/>
      <c r="AN5" s="32" t="n"/>
      <c r="AO5" s="33" t="n"/>
      <c r="AP5" s="124" t="n"/>
      <c r="AQ5" s="125" t="n"/>
      <c r="AR5" s="125" t="n"/>
      <c r="AS5" s="31" t="n"/>
      <c r="AT5" s="32" t="n"/>
      <c r="AU5" s="32" t="n"/>
      <c r="AV5" s="33" t="n"/>
      <c r="AW5" s="124" t="n"/>
      <c r="AX5" s="125" t="n"/>
      <c r="AY5" s="125" t="n"/>
      <c r="AZ5" s="31" t="n"/>
      <c r="BA5" s="32" t="n"/>
      <c r="BB5" s="32" t="n"/>
      <c r="BC5" s="33" t="n"/>
      <c r="BD5" s="34" t="inlineStr">
        <is>
          <t>spandau, mitte</t>
        </is>
      </c>
      <c r="BE5" s="35" t="n"/>
      <c r="BF5" s="35" t="n"/>
      <c r="BG5" s="36" t="inlineStr">
        <is>
          <t>Bundle geteilt mit Max</t>
        </is>
      </c>
    </row>
    <row r="6" ht="22" customHeight="1" s="97">
      <c r="A6" s="25" t="n"/>
      <c r="B6" s="26" t="inlineStr">
        <is>
          <t>Marleen</t>
        </is>
      </c>
      <c r="C6" s="27" t="n">
        <v>40</v>
      </c>
      <c r="D6" s="27" t="n">
        <v>80</v>
      </c>
      <c r="E6" s="27" t="n">
        <v>1</v>
      </c>
      <c r="F6" s="28" t="n">
        <v>45000</v>
      </c>
      <c r="G6" s="124" t="n">
        <v>5665.2</v>
      </c>
      <c r="H6" s="125" t="n">
        <v>5343.5</v>
      </c>
      <c r="I6" s="125" t="n">
        <v>293.5</v>
      </c>
      <c r="J6" s="31" t="n">
        <v>337924</v>
      </c>
      <c r="K6" s="32" t="n">
        <v>8.5</v>
      </c>
      <c r="L6" s="32" t="n">
        <v>8.699999999999999</v>
      </c>
      <c r="M6" s="33" t="n">
        <v>8</v>
      </c>
      <c r="N6" s="124" t="n"/>
      <c r="O6" s="125" t="n"/>
      <c r="P6" s="125" t="n"/>
      <c r="Q6" s="31" t="n"/>
      <c r="R6" s="32" t="n"/>
      <c r="S6" s="32" t="n"/>
      <c r="T6" s="33" t="n"/>
      <c r="U6" s="124" t="n"/>
      <c r="V6" s="125" t="n"/>
      <c r="W6" s="125" t="n"/>
      <c r="X6" s="31" t="n"/>
      <c r="Y6" s="32" t="n"/>
      <c r="Z6" s="32" t="n"/>
      <c r="AA6" s="33" t="n"/>
      <c r="AB6" s="124" t="n"/>
      <c r="AC6" s="125" t="n"/>
      <c r="AD6" s="125" t="n"/>
      <c r="AE6" s="31" t="n"/>
      <c r="AF6" s="32" t="n"/>
      <c r="AG6" s="32" t="n"/>
      <c r="AH6" s="33" t="n"/>
      <c r="AI6" s="124" t="n"/>
      <c r="AJ6" s="125" t="n"/>
      <c r="AK6" s="125" t="n"/>
      <c r="AL6" s="31" t="n"/>
      <c r="AM6" s="32" t="n"/>
      <c r="AN6" s="32" t="n"/>
      <c r="AO6" s="33" t="n"/>
      <c r="AP6" s="124" t="n"/>
      <c r="AQ6" s="125" t="n"/>
      <c r="AR6" s="125" t="n"/>
      <c r="AS6" s="31" t="n"/>
      <c r="AT6" s="32" t="n"/>
      <c r="AU6" s="32" t="n"/>
      <c r="AV6" s="33" t="n"/>
      <c r="AW6" s="124" t="n"/>
      <c r="AX6" s="125" t="n"/>
      <c r="AY6" s="125" t="n"/>
      <c r="AZ6" s="31" t="n"/>
      <c r="BA6" s="32" t="n"/>
      <c r="BB6" s="32" t="n"/>
      <c r="BC6" s="33" t="n"/>
      <c r="BD6" s="34" t="inlineStr">
        <is>
          <t>friedrichshain, charlottenburg, prenzlauer_berg</t>
        </is>
      </c>
      <c r="BE6" s="35" t="n"/>
      <c r="BF6" s="35" t="n"/>
      <c r="BG6" s="36" t="inlineStr">
        <is>
          <t>Bundle geteilt mit Luise</t>
        </is>
      </c>
    </row>
    <row r="7" ht="22" customHeight="1" s="97">
      <c r="A7" s="126" t="n">
        <v>46054</v>
      </c>
      <c r="B7" s="26" t="inlineStr">
        <is>
          <t>Luise</t>
        </is>
      </c>
      <c r="C7" s="27" t="n">
        <v>40</v>
      </c>
      <c r="D7" s="27" t="n">
        <v>80</v>
      </c>
      <c r="E7" s="27" t="n">
        <v>1</v>
      </c>
      <c r="F7" s="28" t="n">
        <v>40000</v>
      </c>
      <c r="G7" s="124">
        <f>G6</f>
        <v/>
      </c>
      <c r="H7" s="125">
        <f>H6</f>
        <v/>
      </c>
      <c r="I7" s="125">
        <f>I6</f>
        <v/>
      </c>
      <c r="J7" s="31">
        <f>J6</f>
        <v/>
      </c>
      <c r="K7" s="32" t="n">
        <v>8.5</v>
      </c>
      <c r="L7" s="32" t="n">
        <v>8.699999999999999</v>
      </c>
      <c r="M7" s="33" t="n"/>
      <c r="N7" s="124">
        <f>N6</f>
        <v/>
      </c>
      <c r="O7" s="125">
        <f>O6</f>
        <v/>
      </c>
      <c r="P7" s="125">
        <f>P6</f>
        <v/>
      </c>
      <c r="Q7" s="31">
        <f>Q6</f>
        <v/>
      </c>
      <c r="R7" s="32">
        <f>R6</f>
        <v/>
      </c>
      <c r="S7" s="32">
        <f>S6</f>
        <v/>
      </c>
      <c r="T7" s="33">
        <f>T6</f>
        <v/>
      </c>
      <c r="U7" s="124">
        <f>U6</f>
        <v/>
      </c>
      <c r="V7" s="125">
        <f>V6</f>
        <v/>
      </c>
      <c r="W7" s="125">
        <f>W6</f>
        <v/>
      </c>
      <c r="X7" s="31">
        <f>X6</f>
        <v/>
      </c>
      <c r="Y7" s="32">
        <f>Y6</f>
        <v/>
      </c>
      <c r="Z7" s="32">
        <f>Z6</f>
        <v/>
      </c>
      <c r="AA7" s="33">
        <f>AA6</f>
        <v/>
      </c>
      <c r="AB7" s="124">
        <f>AB6</f>
        <v/>
      </c>
      <c r="AC7" s="125">
        <f>AC6</f>
        <v/>
      </c>
      <c r="AD7" s="125">
        <f>AD6</f>
        <v/>
      </c>
      <c r="AE7" s="31">
        <f>AE6</f>
        <v/>
      </c>
      <c r="AF7" s="32">
        <f>AF6</f>
        <v/>
      </c>
      <c r="AG7" s="32">
        <f>AG6</f>
        <v/>
      </c>
      <c r="AH7" s="33">
        <f>AH6</f>
        <v/>
      </c>
      <c r="AI7" s="124">
        <f>AI6</f>
        <v/>
      </c>
      <c r="AJ7" s="125">
        <f>AJ6</f>
        <v/>
      </c>
      <c r="AK7" s="125">
        <f>AK6</f>
        <v/>
      </c>
      <c r="AL7" s="31">
        <f>AL6</f>
        <v/>
      </c>
      <c r="AM7" s="32">
        <f>AM6</f>
        <v/>
      </c>
      <c r="AN7" s="32">
        <f>AN6</f>
        <v/>
      </c>
      <c r="AO7" s="33">
        <f>AO6</f>
        <v/>
      </c>
      <c r="AP7" s="124">
        <f>AP6</f>
        <v/>
      </c>
      <c r="AQ7" s="125">
        <f>AQ6</f>
        <v/>
      </c>
      <c r="AR7" s="125">
        <f>AR6</f>
        <v/>
      </c>
      <c r="AS7" s="31">
        <f>AS6</f>
        <v/>
      </c>
      <c r="AT7" s="32">
        <f>AT6</f>
        <v/>
      </c>
      <c r="AU7" s="32">
        <f>AU6</f>
        <v/>
      </c>
      <c r="AV7" s="33">
        <f>AV6</f>
        <v/>
      </c>
      <c r="AW7" s="124">
        <f>AW6</f>
        <v/>
      </c>
      <c r="AX7" s="125">
        <f>AX6</f>
        <v/>
      </c>
      <c r="AY7" s="125">
        <f>AY6</f>
        <v/>
      </c>
      <c r="AZ7" s="31">
        <f>AZ6</f>
        <v/>
      </c>
      <c r="BA7" s="32">
        <f>BA6</f>
        <v/>
      </c>
      <c r="BB7" s="32">
        <f>BB6</f>
        <v/>
      </c>
      <c r="BC7" s="33">
        <f>BC6</f>
        <v/>
      </c>
      <c r="BD7" s="34" t="inlineStr">
        <is>
          <t>friedrichshain, charlottenburg, prenzlauer_berg</t>
        </is>
      </c>
      <c r="BE7" s="35" t="n"/>
      <c r="BF7" s="35" t="n"/>
      <c r="BG7" s="36" t="inlineStr">
        <is>
          <t>Daten-Zellen ziehen auf Zeile 6 (Marleen)</t>
        </is>
      </c>
    </row>
    <row r="8" ht="22" customHeight="1" s="97">
      <c r="A8" s="126" t="n">
        <v>46054</v>
      </c>
      <c r="B8" s="26" t="inlineStr">
        <is>
          <t>Max</t>
        </is>
      </c>
      <c r="C8" s="27" t="n">
        <v>26</v>
      </c>
      <c r="D8" s="27" t="n">
        <v>65</v>
      </c>
      <c r="E8" s="27" t="n">
        <v>1</v>
      </c>
      <c r="F8" s="28" t="n">
        <v>40000</v>
      </c>
      <c r="G8" s="124">
        <f>G5</f>
        <v/>
      </c>
      <c r="H8" s="125">
        <f>H5</f>
        <v/>
      </c>
      <c r="I8" s="125">
        <f>I5</f>
        <v/>
      </c>
      <c r="J8" s="31">
        <f>J5</f>
        <v/>
      </c>
      <c r="K8" s="32" t="n">
        <v>8.5</v>
      </c>
      <c r="L8" s="32" t="n">
        <v>7.8</v>
      </c>
      <c r="M8" s="33" t="n">
        <v>8.800000000000001</v>
      </c>
      <c r="N8" s="124">
        <f>N5</f>
        <v/>
      </c>
      <c r="O8" s="125">
        <f>O5</f>
        <v/>
      </c>
      <c r="P8" s="125">
        <f>P5</f>
        <v/>
      </c>
      <c r="Q8" s="31">
        <f>Q5</f>
        <v/>
      </c>
      <c r="R8" s="32">
        <f>R5</f>
        <v/>
      </c>
      <c r="S8" s="32">
        <f>S5</f>
        <v/>
      </c>
      <c r="T8" s="33">
        <f>T5</f>
        <v/>
      </c>
      <c r="U8" s="124">
        <f>U5</f>
        <v/>
      </c>
      <c r="V8" s="125">
        <f>V5</f>
        <v/>
      </c>
      <c r="W8" s="125">
        <f>W5</f>
        <v/>
      </c>
      <c r="X8" s="31">
        <f>X5</f>
        <v/>
      </c>
      <c r="Y8" s="32">
        <f>Y5</f>
        <v/>
      </c>
      <c r="Z8" s="32">
        <f>Z5</f>
        <v/>
      </c>
      <c r="AA8" s="33">
        <f>AA5</f>
        <v/>
      </c>
      <c r="AB8" s="124">
        <f>AB5</f>
        <v/>
      </c>
      <c r="AC8" s="125">
        <f>AC5</f>
        <v/>
      </c>
      <c r="AD8" s="125">
        <f>AD5</f>
        <v/>
      </c>
      <c r="AE8" s="31">
        <f>AE5</f>
        <v/>
      </c>
      <c r="AF8" s="32">
        <f>AF5</f>
        <v/>
      </c>
      <c r="AG8" s="32">
        <f>AG5</f>
        <v/>
      </c>
      <c r="AH8" s="33">
        <f>AH5</f>
        <v/>
      </c>
      <c r="AI8" s="124">
        <f>AI5</f>
        <v/>
      </c>
      <c r="AJ8" s="125">
        <f>AJ5</f>
        <v/>
      </c>
      <c r="AK8" s="125">
        <f>AK5</f>
        <v/>
      </c>
      <c r="AL8" s="31">
        <f>AL5</f>
        <v/>
      </c>
      <c r="AM8" s="32">
        <f>AM5</f>
        <v/>
      </c>
      <c r="AN8" s="32">
        <f>AN5</f>
        <v/>
      </c>
      <c r="AO8" s="33">
        <f>AO5</f>
        <v/>
      </c>
      <c r="AP8" s="124">
        <f>AP5</f>
        <v/>
      </c>
      <c r="AQ8" s="125">
        <f>AQ5</f>
        <v/>
      </c>
      <c r="AR8" s="125">
        <f>AR5</f>
        <v/>
      </c>
      <c r="AS8" s="31">
        <f>AS5</f>
        <v/>
      </c>
      <c r="AT8" s="32">
        <f>AT5</f>
        <v/>
      </c>
      <c r="AU8" s="32">
        <f>AU5</f>
        <v/>
      </c>
      <c r="AV8" s="33">
        <f>AV5</f>
        <v/>
      </c>
      <c r="AW8" s="124">
        <f>AW5</f>
        <v/>
      </c>
      <c r="AX8" s="125">
        <f>AX5</f>
        <v/>
      </c>
      <c r="AY8" s="125">
        <f>AY5</f>
        <v/>
      </c>
      <c r="AZ8" s="31">
        <f>AZ5</f>
        <v/>
      </c>
      <c r="BA8" s="32">
        <f>BA5</f>
        <v/>
      </c>
      <c r="BB8" s="32">
        <f>BB5</f>
        <v/>
      </c>
      <c r="BC8" s="33">
        <f>BC5</f>
        <v/>
      </c>
      <c r="BD8" s="34" t="inlineStr">
        <is>
          <t>spandau, mitte</t>
        </is>
      </c>
      <c r="BE8" s="35" t="n"/>
      <c r="BF8" s="35" t="n"/>
      <c r="BG8" s="36" t="inlineStr">
        <is>
          <t>Daten-Zellen ziehen auf Zeile 5 (Laura)</t>
        </is>
      </c>
    </row>
    <row r="14">
      <c r="K14" t="inlineStr">
        <is>
          <t>Vertragliche Arbeitszeit</t>
        </is>
      </c>
      <c r="N14" t="n">
        <v>4000</v>
      </c>
      <c r="O14" t="n">
        <v>4000</v>
      </c>
    </row>
    <row r="15">
      <c r="K15" t="inlineStr">
        <is>
          <t>Abwesenheiten</t>
        </is>
      </c>
      <c r="N15" t="n">
        <v>250</v>
      </c>
      <c r="O15" t="n">
        <v>750</v>
      </c>
    </row>
    <row r="16">
      <c r="E16" t="inlineStr">
        <is>
          <t>SP</t>
        </is>
      </c>
      <c r="F16" s="127" t="n">
        <v>35691</v>
      </c>
      <c r="G16" s="127" t="n">
        <v>30905</v>
      </c>
      <c r="H16" s="47" t="n">
        <v>47055</v>
      </c>
      <c r="K16" t="inlineStr">
        <is>
          <t>Krankheitspauschale</t>
        </is>
      </c>
      <c r="N16" t="n">
        <v>0.9</v>
      </c>
      <c r="O16" t="n">
        <v>0.9</v>
      </c>
    </row>
    <row r="17">
      <c r="E17" t="inlineStr">
        <is>
          <t>MI</t>
        </is>
      </c>
      <c r="F17" s="127" t="n">
        <v>50523</v>
      </c>
      <c r="G17" s="127" t="n">
        <v>62728</v>
      </c>
      <c r="H17" s="47" t="n">
        <v>71031</v>
      </c>
      <c r="K17" t="inlineStr">
        <is>
          <t>VND Zeit</t>
        </is>
      </c>
      <c r="N17" t="n">
        <v>0.825</v>
      </c>
      <c r="O17" t="n">
        <v>0.825</v>
      </c>
    </row>
    <row r="18">
      <c r="E18" t="inlineStr">
        <is>
          <t>FR</t>
        </is>
      </c>
      <c r="F18" s="127" t="n">
        <v>77627</v>
      </c>
      <c r="G18" s="127" t="n">
        <v>50952</v>
      </c>
      <c r="H18" s="47" t="n">
        <v>80145</v>
      </c>
      <c r="K18" t="inlineStr">
        <is>
          <t>Mögliche AZ</t>
        </is>
      </c>
      <c r="N18">
        <f>((N14-N15)*N16)*N17</f>
        <v/>
      </c>
      <c r="O18">
        <f>((O14-O15)*O16)*O17</f>
        <v/>
      </c>
    </row>
    <row r="19">
      <c r="E19" t="inlineStr">
        <is>
          <t>CB</t>
        </is>
      </c>
      <c r="F19" s="127" t="n">
        <v>36050</v>
      </c>
      <c r="G19" s="127" t="n">
        <v>46048</v>
      </c>
      <c r="H19" s="47" t="n">
        <v>55935</v>
      </c>
    </row>
    <row r="20">
      <c r="K20" t="inlineStr">
        <is>
          <t>Umsatz pro Stunde</t>
        </is>
      </c>
      <c r="N20" t="n">
        <v>103</v>
      </c>
      <c r="O20" t="n">
        <v>103</v>
      </c>
    </row>
    <row r="22">
      <c r="K22" t="inlineStr">
        <is>
          <t>Zielumsatz</t>
        </is>
      </c>
      <c r="N22" s="128">
        <f>N18*N20</f>
        <v/>
      </c>
      <c r="O22" s="128">
        <f>O18*O20</f>
        <v/>
      </c>
    </row>
    <row r="23">
      <c r="K23" t="inlineStr">
        <is>
          <t>Zielumsatz pro h</t>
        </is>
      </c>
      <c r="N23" s="129">
        <f>N22/(N14-N15)</f>
        <v/>
      </c>
      <c r="O23" s="129">
        <f>O22/(O14-O15)</f>
        <v/>
      </c>
    </row>
    <row r="24">
      <c r="K24" t="inlineStr">
        <is>
          <t>Zielumsatz pro 30h</t>
        </is>
      </c>
      <c r="N24" s="129">
        <f>N23*30*4.33</f>
        <v/>
      </c>
      <c r="O24" s="129">
        <f>O23*30*4.33</f>
        <v/>
      </c>
    </row>
  </sheetData>
  <mergeCells count="11">
    <mergeCell ref="G3:M3"/>
    <mergeCell ref="A2:BG2"/>
    <mergeCell ref="AB3:AH3"/>
    <mergeCell ref="AP3:AV3"/>
    <mergeCell ref="N3:T3"/>
    <mergeCell ref="BD3:BG3"/>
    <mergeCell ref="AI3:AO3"/>
    <mergeCell ref="AW3:BC3"/>
    <mergeCell ref="U3:AA3"/>
    <mergeCell ref="A3:F3"/>
    <mergeCell ref="A1:B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BDBDBD"/>
    <outlinePr summaryBelow="1" summaryRight="1"/>
    <pageSetUpPr/>
  </sheetPr>
  <dimension ref="A1:DX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I12" sqref="I12"/>
    </sheetView>
  </sheetViews>
  <sheetFormatPr baseColWidth="10" defaultColWidth="8.83203125" defaultRowHeight="15"/>
  <cols>
    <col width="2" customWidth="1" style="97" min="1" max="1"/>
    <col width="13" customWidth="1" style="97" min="2" max="2"/>
    <col width="8" customWidth="1" style="97" min="3" max="3"/>
    <col width="9" customWidth="1" style="97" min="4" max="4"/>
    <col width="8" customWidth="1" style="97" min="5" max="5"/>
    <col width="11" customWidth="1" style="97" min="6" max="7"/>
    <col width="10" customWidth="1" style="97" min="8" max="10"/>
    <col width="11" customWidth="1" style="97" min="11" max="11"/>
    <col width="10" customWidth="1" style="97" min="12" max="12"/>
    <col width="8" customWidth="1" style="97" min="13" max="15"/>
    <col width="12" customWidth="1" style="97" min="16" max="16"/>
    <col width="8" customWidth="1" style="97" min="17" max="17"/>
    <col width="11" customWidth="1" style="97" min="18" max="19"/>
    <col width="12" customWidth="1" style="97" min="20" max="20"/>
    <col width="8" customWidth="1" style="97" min="21" max="21"/>
    <col width="9" customWidth="1" style="97" min="22" max="22"/>
    <col width="8" customWidth="1" style="97" min="23" max="23"/>
    <col width="11" customWidth="1" style="97" min="24" max="25"/>
    <col width="10" customWidth="1" style="97" min="26" max="28"/>
    <col width="11" customWidth="1" style="97" min="29" max="29"/>
    <col width="10" customWidth="1" style="97" min="30" max="30"/>
    <col width="8" customWidth="1" style="97" min="31" max="33"/>
    <col width="12" customWidth="1" style="97" min="34" max="34"/>
    <col width="8" customWidth="1" style="97" min="35" max="35"/>
    <col width="11" customWidth="1" style="97" min="36" max="37"/>
    <col width="12" customWidth="1" style="97" min="38" max="38"/>
    <col width="8" customWidth="1" style="97" min="39" max="39"/>
    <col width="9" customWidth="1" style="97" min="40" max="40"/>
    <col width="8" customWidth="1" style="97" min="41" max="41"/>
    <col width="11" customWidth="1" style="97" min="42" max="43"/>
    <col width="10" customWidth="1" style="97" min="44" max="46"/>
    <col width="11" customWidth="1" style="97" min="47" max="47"/>
    <col width="10" customWidth="1" style="97" min="48" max="48"/>
    <col width="8" customWidth="1" style="97" min="49" max="51"/>
    <col width="12" customWidth="1" style="97" min="52" max="52"/>
    <col width="8" customWidth="1" style="97" min="53" max="53"/>
    <col width="11" customWidth="1" style="97" min="54" max="55"/>
    <col width="12" customWidth="1" style="97" min="56" max="56"/>
    <col width="8" customWidth="1" style="97" min="57" max="57"/>
    <col width="9" customWidth="1" style="97" min="58" max="58"/>
    <col width="8" customWidth="1" style="97" min="59" max="59"/>
    <col width="11" customWidth="1" style="97" min="60" max="61"/>
    <col width="10" customWidth="1" style="97" min="62" max="64"/>
    <col width="11" customWidth="1" style="97" min="65" max="65"/>
    <col width="10" customWidth="1" style="97" min="66" max="66"/>
    <col width="8" customWidth="1" style="97" min="67" max="69"/>
    <col width="12" customWidth="1" style="97" min="70" max="70"/>
    <col width="8" customWidth="1" style="97" min="71" max="71"/>
    <col width="11" customWidth="1" style="97" min="72" max="73"/>
    <col width="12" customWidth="1" style="97" min="74" max="74"/>
    <col width="8" customWidth="1" style="97" min="75" max="75"/>
    <col width="9" customWidth="1" style="97" min="76" max="76"/>
    <col width="8" customWidth="1" style="97" min="77" max="77"/>
    <col width="11" customWidth="1" style="97" min="78" max="79"/>
    <col width="10" customWidth="1" style="97" min="80" max="82"/>
    <col width="11" customWidth="1" style="97" min="83" max="83"/>
    <col width="10" customWidth="1" style="97" min="84" max="84"/>
    <col width="8" customWidth="1" style="97" min="85" max="87"/>
    <col width="12" customWidth="1" style="97" min="88" max="88"/>
    <col width="8" customWidth="1" style="97" min="89" max="89"/>
    <col width="11" customWidth="1" style="97" min="90" max="91"/>
    <col width="12" customWidth="1" style="97" min="92" max="92"/>
    <col width="8" customWidth="1" style="97" min="93" max="93"/>
    <col width="9" customWidth="1" style="97" min="94" max="94"/>
    <col width="8" customWidth="1" style="97" min="95" max="95"/>
    <col width="11" customWidth="1" style="97" min="96" max="97"/>
    <col width="10" customWidth="1" style="97" min="98" max="100"/>
    <col width="11" customWidth="1" style="97" min="101" max="101"/>
    <col width="10" customWidth="1" style="97" min="102" max="102"/>
    <col width="8" customWidth="1" style="97" min="103" max="105"/>
    <col width="12" customWidth="1" style="97" min="106" max="106"/>
    <col width="8" customWidth="1" style="97" min="107" max="107"/>
    <col width="11" customWidth="1" style="97" min="108" max="109"/>
    <col width="12" customWidth="1" style="97" min="110" max="110"/>
    <col width="8" customWidth="1" style="97" min="111" max="111"/>
    <col width="9" customWidth="1" style="97" min="112" max="112"/>
    <col width="8" customWidth="1" style="97" min="113" max="113"/>
    <col width="11" customWidth="1" style="97" min="114" max="115"/>
    <col width="10" customWidth="1" style="97" min="116" max="118"/>
    <col width="11" customWidth="1" style="97" min="119" max="119"/>
    <col width="10" customWidth="1" style="97" min="120" max="120"/>
    <col width="8" customWidth="1" style="97" min="121" max="123"/>
    <col width="12" customWidth="1" style="97" min="124" max="124"/>
    <col width="8" customWidth="1" style="97" min="125" max="125"/>
    <col width="11" customWidth="1" style="97" min="126" max="127"/>
    <col width="12" customWidth="1" style="97" min="128" max="128"/>
  </cols>
  <sheetData>
    <row r="1" ht="30" customHeight="1" s="97">
      <c r="A1" s="112" t="inlineStr">
        <is>
          <t>⚠  NUR CLAUDE SCHREIBT HIER — bitte NICHT manuell ändern.   |   PM-Gehaltsmodell · Berechnung (automatisch aus »Daten«)</t>
        </is>
      </c>
    </row>
    <row r="2" ht="22" customHeight="1" s="97">
      <c r="B2" s="111" t="inlineStr">
        <is>
          <t>Automatisch aus Daten-Tab berechnet. Nicht manuell ändern. Relevant: »Tats. Stufe« und »Monatsgehalt«.</t>
        </is>
      </c>
    </row>
    <row r="3" ht="24" customHeight="1" s="97">
      <c r="B3" s="108" t="inlineStr">
        <is>
          <t>PM</t>
        </is>
      </c>
      <c r="C3" s="108" t="inlineStr">
        <is>
          <t>Q1 2026</t>
        </is>
      </c>
      <c r="U3" s="108" t="inlineStr">
        <is>
          <t>Q2 2026</t>
        </is>
      </c>
      <c r="AM3" s="108" t="inlineStr">
        <is>
          <t>Q3 2026</t>
        </is>
      </c>
      <c r="BE3" s="108" t="inlineStr">
        <is>
          <t>Q4 2026</t>
        </is>
      </c>
      <c r="BW3" s="108" t="inlineStr">
        <is>
          <t>Q1 2027</t>
        </is>
      </c>
      <c r="CO3" s="108" t="inlineStr">
        <is>
          <t>Q2 2027</t>
        </is>
      </c>
      <c r="DG3" s="108" t="inlineStr">
        <is>
          <t>Q3 2027</t>
        </is>
      </c>
    </row>
    <row r="4" ht="40" customHeight="1" s="97">
      <c r="B4" s="22" t="inlineStr">
        <is>
          <t>Name</t>
        </is>
      </c>
      <c r="C4" s="23" t="inlineStr">
        <is>
          <t>Zufr. Score</t>
        </is>
      </c>
      <c r="D4" s="22" t="inlineStr">
        <is>
          <t>TH Bundle</t>
        </is>
      </c>
      <c r="E4" s="22" t="inlineStr">
        <is>
          <t>TH PM</t>
        </is>
      </c>
      <c r="F4" s="22" t="inlineStr">
        <is>
          <t>TH-Anteil €</t>
        </is>
      </c>
      <c r="G4" s="22" t="inlineStr">
        <is>
          <t>Basis-Gehalt</t>
        </is>
      </c>
      <c r="H4" s="22" t="inlineStr">
        <is>
          <t>Verfüg. Std</t>
        </is>
      </c>
      <c r="I4" s="22" t="inlineStr">
        <is>
          <t>Therapiezeit</t>
        </is>
      </c>
      <c r="J4" s="22" t="inlineStr">
        <is>
          <t>Puffer</t>
        </is>
      </c>
      <c r="K4" s="22" t="inlineStr">
        <is>
          <t>Ziel-Umsatz</t>
        </is>
      </c>
      <c r="L4" s="22" t="inlineStr">
        <is>
          <t>Leistungsindex</t>
        </is>
      </c>
      <c r="M4" s="22" t="inlineStr">
        <is>
          <t>Rechn. Stufe</t>
        </is>
      </c>
      <c r="N4" s="22" t="inlineStr">
        <is>
          <t>Stufe VorQ</t>
        </is>
      </c>
      <c r="O4" s="22" t="inlineStr">
        <is>
          <t>Tats. Stufe</t>
        </is>
      </c>
      <c r="P4" s="22" t="inlineStr">
        <is>
          <t>Stufenname</t>
        </is>
      </c>
      <c r="Q4" s="22" t="inlineStr">
        <is>
          <t>Zulage %</t>
        </is>
      </c>
      <c r="R4" s="22" t="inlineStr">
        <is>
          <t>Gehalt (Formel)</t>
        </is>
      </c>
      <c r="S4" s="22" t="inlineStr">
        <is>
          <t>Jahresgehalt</t>
        </is>
      </c>
      <c r="T4" s="24" t="inlineStr">
        <is>
          <t>Monatsgehalt</t>
        </is>
      </c>
      <c r="U4" s="23" t="inlineStr">
        <is>
          <t>Zufr. Score</t>
        </is>
      </c>
      <c r="V4" s="22" t="inlineStr">
        <is>
          <t>TH Bundle</t>
        </is>
      </c>
      <c r="W4" s="22" t="inlineStr">
        <is>
          <t>TH PM</t>
        </is>
      </c>
      <c r="X4" s="22" t="inlineStr">
        <is>
          <t>TH-Anteil €</t>
        </is>
      </c>
      <c r="Y4" s="22" t="inlineStr">
        <is>
          <t>Basis-Gehalt</t>
        </is>
      </c>
      <c r="Z4" s="22" t="inlineStr">
        <is>
          <t>Verfüg. Std</t>
        </is>
      </c>
      <c r="AA4" s="22" t="inlineStr">
        <is>
          <t>Therapiezeit</t>
        </is>
      </c>
      <c r="AB4" s="22" t="inlineStr">
        <is>
          <t>Puffer</t>
        </is>
      </c>
      <c r="AC4" s="22" t="inlineStr">
        <is>
          <t>Ziel-Umsatz</t>
        </is>
      </c>
      <c r="AD4" s="22" t="inlineStr">
        <is>
          <t>Leistungsindex</t>
        </is>
      </c>
      <c r="AE4" s="22" t="inlineStr">
        <is>
          <t>Rechn. Stufe</t>
        </is>
      </c>
      <c r="AF4" s="22" t="inlineStr">
        <is>
          <t>Stufe VorQ</t>
        </is>
      </c>
      <c r="AG4" s="22" t="inlineStr">
        <is>
          <t>Tats. Stufe</t>
        </is>
      </c>
      <c r="AH4" s="22" t="inlineStr">
        <is>
          <t>Stufenname</t>
        </is>
      </c>
      <c r="AI4" s="22" t="inlineStr">
        <is>
          <t>Zulage %</t>
        </is>
      </c>
      <c r="AJ4" s="22" t="inlineStr">
        <is>
          <t>Gehalt (Formel)</t>
        </is>
      </c>
      <c r="AK4" s="22" t="inlineStr">
        <is>
          <t>Jahresgehalt</t>
        </is>
      </c>
      <c r="AL4" s="24" t="inlineStr">
        <is>
          <t>Monatsgehalt</t>
        </is>
      </c>
      <c r="AM4" s="23" t="inlineStr">
        <is>
          <t>Zufr. Score</t>
        </is>
      </c>
      <c r="AN4" s="22" t="inlineStr">
        <is>
          <t>TH Bundle</t>
        </is>
      </c>
      <c r="AO4" s="22" t="inlineStr">
        <is>
          <t>TH PM</t>
        </is>
      </c>
      <c r="AP4" s="22" t="inlineStr">
        <is>
          <t>TH-Anteil €</t>
        </is>
      </c>
      <c r="AQ4" s="22" t="inlineStr">
        <is>
          <t>Basis-Gehalt</t>
        </is>
      </c>
      <c r="AR4" s="22" t="inlineStr">
        <is>
          <t>Verfüg. Std</t>
        </is>
      </c>
      <c r="AS4" s="22" t="inlineStr">
        <is>
          <t>Therapiezeit</t>
        </is>
      </c>
      <c r="AT4" s="22" t="inlineStr">
        <is>
          <t>Puffer</t>
        </is>
      </c>
      <c r="AU4" s="22" t="inlineStr">
        <is>
          <t>Ziel-Umsatz</t>
        </is>
      </c>
      <c r="AV4" s="22" t="inlineStr">
        <is>
          <t>Leistungsindex</t>
        </is>
      </c>
      <c r="AW4" s="22" t="inlineStr">
        <is>
          <t>Rechn. Stufe</t>
        </is>
      </c>
      <c r="AX4" s="22" t="inlineStr">
        <is>
          <t>Stufe VorQ</t>
        </is>
      </c>
      <c r="AY4" s="22" t="inlineStr">
        <is>
          <t>Tats. Stufe</t>
        </is>
      </c>
      <c r="AZ4" s="22" t="inlineStr">
        <is>
          <t>Stufenname</t>
        </is>
      </c>
      <c r="BA4" s="22" t="inlineStr">
        <is>
          <t>Zulage %</t>
        </is>
      </c>
      <c r="BB4" s="22" t="inlineStr">
        <is>
          <t>Gehalt (Formel)</t>
        </is>
      </c>
      <c r="BC4" s="22" t="inlineStr">
        <is>
          <t>Jahresgehalt</t>
        </is>
      </c>
      <c r="BD4" s="24" t="inlineStr">
        <is>
          <t>Monatsgehalt</t>
        </is>
      </c>
      <c r="BE4" s="23" t="inlineStr">
        <is>
          <t>Zufr. Score</t>
        </is>
      </c>
      <c r="BF4" s="22" t="inlineStr">
        <is>
          <t>TH Bundle</t>
        </is>
      </c>
      <c r="BG4" s="22" t="inlineStr">
        <is>
          <t>TH PM</t>
        </is>
      </c>
      <c r="BH4" s="22" t="inlineStr">
        <is>
          <t>TH-Anteil €</t>
        </is>
      </c>
      <c r="BI4" s="22" t="inlineStr">
        <is>
          <t>Basis-Gehalt</t>
        </is>
      </c>
      <c r="BJ4" s="22" t="inlineStr">
        <is>
          <t>Verfüg. Std</t>
        </is>
      </c>
      <c r="BK4" s="22" t="inlineStr">
        <is>
          <t>Therapiezeit</t>
        </is>
      </c>
      <c r="BL4" s="22" t="inlineStr">
        <is>
          <t>Puffer</t>
        </is>
      </c>
      <c r="BM4" s="22" t="inlineStr">
        <is>
          <t>Ziel-Umsatz</t>
        </is>
      </c>
      <c r="BN4" s="22" t="inlineStr">
        <is>
          <t>Leistungsindex</t>
        </is>
      </c>
      <c r="BO4" s="22" t="inlineStr">
        <is>
          <t>Rechn. Stufe</t>
        </is>
      </c>
      <c r="BP4" s="22" t="inlineStr">
        <is>
          <t>Stufe VorQ</t>
        </is>
      </c>
      <c r="BQ4" s="22" t="inlineStr">
        <is>
          <t>Tats. Stufe</t>
        </is>
      </c>
      <c r="BR4" s="22" t="inlineStr">
        <is>
          <t>Stufenname</t>
        </is>
      </c>
      <c r="BS4" s="22" t="inlineStr">
        <is>
          <t>Zulage %</t>
        </is>
      </c>
      <c r="BT4" s="22" t="inlineStr">
        <is>
          <t>Gehalt (Formel)</t>
        </is>
      </c>
      <c r="BU4" s="22" t="inlineStr">
        <is>
          <t>Jahresgehalt</t>
        </is>
      </c>
      <c r="BV4" s="24" t="inlineStr">
        <is>
          <t>Monatsgehalt</t>
        </is>
      </c>
      <c r="BW4" s="23" t="inlineStr">
        <is>
          <t>Zufr. Score</t>
        </is>
      </c>
      <c r="BX4" s="22" t="inlineStr">
        <is>
          <t>TH Bundle</t>
        </is>
      </c>
      <c r="BY4" s="22" t="inlineStr">
        <is>
          <t>TH PM</t>
        </is>
      </c>
      <c r="BZ4" s="22" t="inlineStr">
        <is>
          <t>TH-Anteil €</t>
        </is>
      </c>
      <c r="CA4" s="22" t="inlineStr">
        <is>
          <t>Basis-Gehalt</t>
        </is>
      </c>
      <c r="CB4" s="22" t="inlineStr">
        <is>
          <t>Verfüg. Std</t>
        </is>
      </c>
      <c r="CC4" s="22" t="inlineStr">
        <is>
          <t>Therapiezeit</t>
        </is>
      </c>
      <c r="CD4" s="22" t="inlineStr">
        <is>
          <t>Puffer</t>
        </is>
      </c>
      <c r="CE4" s="22" t="inlineStr">
        <is>
          <t>Ziel-Umsatz</t>
        </is>
      </c>
      <c r="CF4" s="22" t="inlineStr">
        <is>
          <t>Leistungsindex</t>
        </is>
      </c>
      <c r="CG4" s="22" t="inlineStr">
        <is>
          <t>Rechn. Stufe</t>
        </is>
      </c>
      <c r="CH4" s="22" t="inlineStr">
        <is>
          <t>Stufe VorQ</t>
        </is>
      </c>
      <c r="CI4" s="22" t="inlineStr">
        <is>
          <t>Tats. Stufe</t>
        </is>
      </c>
      <c r="CJ4" s="22" t="inlineStr">
        <is>
          <t>Stufenname</t>
        </is>
      </c>
      <c r="CK4" s="22" t="inlineStr">
        <is>
          <t>Zulage %</t>
        </is>
      </c>
      <c r="CL4" s="22" t="inlineStr">
        <is>
          <t>Gehalt (Formel)</t>
        </is>
      </c>
      <c r="CM4" s="22" t="inlineStr">
        <is>
          <t>Jahresgehalt</t>
        </is>
      </c>
      <c r="CN4" s="24" t="inlineStr">
        <is>
          <t>Monatsgehalt</t>
        </is>
      </c>
      <c r="CO4" s="23" t="inlineStr">
        <is>
          <t>Zufr. Score</t>
        </is>
      </c>
      <c r="CP4" s="22" t="inlineStr">
        <is>
          <t>TH Bundle</t>
        </is>
      </c>
      <c r="CQ4" s="22" t="inlineStr">
        <is>
          <t>TH PM</t>
        </is>
      </c>
      <c r="CR4" s="22" t="inlineStr">
        <is>
          <t>TH-Anteil €</t>
        </is>
      </c>
      <c r="CS4" s="22" t="inlineStr">
        <is>
          <t>Basis-Gehalt</t>
        </is>
      </c>
      <c r="CT4" s="22" t="inlineStr">
        <is>
          <t>Verfüg. Std</t>
        </is>
      </c>
      <c r="CU4" s="22" t="inlineStr">
        <is>
          <t>Therapiezeit</t>
        </is>
      </c>
      <c r="CV4" s="22" t="inlineStr">
        <is>
          <t>Puffer</t>
        </is>
      </c>
      <c r="CW4" s="22" t="inlineStr">
        <is>
          <t>Ziel-Umsatz</t>
        </is>
      </c>
      <c r="CX4" s="22" t="inlineStr">
        <is>
          <t>Leistungsindex</t>
        </is>
      </c>
      <c r="CY4" s="22" t="inlineStr">
        <is>
          <t>Rechn. Stufe</t>
        </is>
      </c>
      <c r="CZ4" s="22" t="inlineStr">
        <is>
          <t>Stufe VorQ</t>
        </is>
      </c>
      <c r="DA4" s="22" t="inlineStr">
        <is>
          <t>Tats. Stufe</t>
        </is>
      </c>
      <c r="DB4" s="22" t="inlineStr">
        <is>
          <t>Stufenname</t>
        </is>
      </c>
      <c r="DC4" s="22" t="inlineStr">
        <is>
          <t>Zulage %</t>
        </is>
      </c>
      <c r="DD4" s="22" t="inlineStr">
        <is>
          <t>Gehalt (Formel)</t>
        </is>
      </c>
      <c r="DE4" s="22" t="inlineStr">
        <is>
          <t>Jahresgehalt</t>
        </is>
      </c>
      <c r="DF4" s="24" t="inlineStr">
        <is>
          <t>Monatsgehalt</t>
        </is>
      </c>
      <c r="DG4" s="23" t="inlineStr">
        <is>
          <t>Zufr. Score</t>
        </is>
      </c>
      <c r="DH4" s="22" t="inlineStr">
        <is>
          <t>TH Bundle</t>
        </is>
      </c>
      <c r="DI4" s="22" t="inlineStr">
        <is>
          <t>TH PM</t>
        </is>
      </c>
      <c r="DJ4" s="22" t="inlineStr">
        <is>
          <t>TH-Anteil €</t>
        </is>
      </c>
      <c r="DK4" s="22" t="inlineStr">
        <is>
          <t>Basis-Gehalt</t>
        </is>
      </c>
      <c r="DL4" s="22" t="inlineStr">
        <is>
          <t>Verfüg. Std</t>
        </is>
      </c>
      <c r="DM4" s="22" t="inlineStr">
        <is>
          <t>Therapiezeit</t>
        </is>
      </c>
      <c r="DN4" s="22" t="inlineStr">
        <is>
          <t>Puffer</t>
        </is>
      </c>
      <c r="DO4" s="22" t="inlineStr">
        <is>
          <t>Ziel-Umsatz</t>
        </is>
      </c>
      <c r="DP4" s="22" t="inlineStr">
        <is>
          <t>Leistungsindex</t>
        </is>
      </c>
      <c r="DQ4" s="22" t="inlineStr">
        <is>
          <t>Rechn. Stufe</t>
        </is>
      </c>
      <c r="DR4" s="22" t="inlineStr">
        <is>
          <t>Stufe VorQ</t>
        </is>
      </c>
      <c r="DS4" s="22" t="inlineStr">
        <is>
          <t>Tats. Stufe</t>
        </is>
      </c>
      <c r="DT4" s="22" t="inlineStr">
        <is>
          <t>Stufenname</t>
        </is>
      </c>
      <c r="DU4" s="22" t="inlineStr">
        <is>
          <t>Zulage %</t>
        </is>
      </c>
      <c r="DV4" s="22" t="inlineStr">
        <is>
          <t>Gehalt (Formel)</t>
        </is>
      </c>
      <c r="DW4" s="22" t="inlineStr">
        <is>
          <t>Jahresgehalt</t>
        </is>
      </c>
      <c r="DX4" s="24" t="inlineStr">
        <is>
          <t>Monatsgehalt</t>
        </is>
      </c>
    </row>
    <row r="5" ht="22" customHeight="1" s="97">
      <c r="B5" s="38">
        <f>Daten!B5</f>
        <v/>
      </c>
      <c r="C5" s="39">
        <f>IF(NOT(Daten!J5&lt;&gt;0),"",ROUND(Daten!K5*0.2+Daten!L5*0.2+Daten!M5*0.6,1))</f>
        <v/>
      </c>
      <c r="D5" s="27">
        <f>IF(NOT(Daten!J5&lt;&gt;0),"",ROUND(Daten!G5/13/30,0))</f>
        <v/>
      </c>
      <c r="E5" s="27">
        <f>IF(D5="","",ROUND(D5*Daten!C5/Daten!D5,0))</f>
        <v/>
      </c>
      <c r="F5" s="28">
        <f>IF(E5="","",IF(AND(Daten!A5&lt;&gt;"",Daten!A5&lt;=DATE(2026,3,31),DATE(2026,3,31)&lt;Daten!A5+180),0,INDEX('TH-Zulagen'!D$2:D$22,E5+1)))</f>
        <v/>
      </c>
      <c r="G5" s="28">
        <f>IF(NOT(Daten!J5&lt;&gt;0),"",Parameter!D7+IF(F5="",0,F5))</f>
        <v/>
      </c>
      <c r="H5" s="130">
        <f>IF(NOT(Daten!J5&lt;&gt;0),"",Daten!H5-Daten!I5)</f>
        <v/>
      </c>
      <c r="I5" s="130">
        <f>IF(H5="","",H5*Parameter!D4)</f>
        <v/>
      </c>
      <c r="J5" s="130">
        <f>IF(I5="","",I5*(1-Parameter!D5))</f>
        <v/>
      </c>
      <c r="K5" s="28">
        <f>IF(J5="","",J5*Parameter!D6)</f>
        <v/>
      </c>
      <c r="L5" s="41">
        <f>IF(NOT(Daten!J5&lt;&gt;0),"",ROUND(Daten!J5/K5*110/1.17,1))</f>
        <v/>
      </c>
      <c r="M5" s="27">
        <f>IF(NOT(Daten!J5&lt;&gt;0),"",IF(AND(L5&gt;=Stufentabelle!B7,C5&gt;=Stufentabelle!D7),6,IF(AND(L5&gt;=Stufentabelle!B6,C5&gt;=Stufentabelle!D6),5,IF(AND(L5&gt;=Stufentabelle!B5,C5&gt;=Stufentabelle!D5),4,IF(AND(L5&gt;=Stufentabelle!B4,C5&gt;=Stufentabelle!D4),3,IF(AND(L5&gt;=Stufentabelle!B3,C5&gt;=Stufentabelle!D3),2,IF(AND(L5&gt;=Stufentabelle!B2,C5&gt;=Stufentabelle!D2),1,0)))))))</f>
        <v/>
      </c>
      <c r="N5" s="27">
        <f>Daten!E5</f>
        <v/>
      </c>
      <c r="O5" s="42">
        <f>IF(NOT(Daten!J5&lt;&gt;0),"",IF(AND(Daten!A5&lt;&gt;"",Daten!A5&lt;=DATE(2026,3,31),DATE(2026,3,31)&lt;Daten!A5+180),Daten!E5,IF(OR(M5="",M5=0),MAX(N5-1,1),IF(M5&gt;N5+1,N5+1,IF(M5&lt;N5-1,MAX(N5-1,1),M5)))))</f>
        <v/>
      </c>
      <c r="P5" s="43">
        <f>IF(O5="","",CHOOSE(O5,"Basis","Gut","Stark","Sehr stark","Exzellent","Herrausragend"))</f>
        <v/>
      </c>
      <c r="Q5" s="44">
        <f>IF(O5="","",INDEX(Stufentabelle!E2:E7,MATCH(O5,Stufentabelle!A2:A7,0)))</f>
        <v/>
      </c>
      <c r="R5" s="28">
        <f>IF(OR(O5="",G5=""),"",ROUND(G5*(1+Q5)*(Daten!C5/40),0))</f>
        <v/>
      </c>
      <c r="S5" s="28">
        <f>IF(R5="","",MAX(R5,ROUND(Daten!F5*(Daten!C5/40),0)))</f>
        <v/>
      </c>
      <c r="T5" s="45">
        <f>IF(S5="","",ROUND(S5/12,0))</f>
        <v/>
      </c>
      <c r="U5" s="39">
        <f>IF(NOT(Daten!Q5&lt;&gt;0),"",ROUND(Daten!R5*0.2+Daten!S5*0.2+Daten!T5*0.6,1))</f>
        <v/>
      </c>
      <c r="V5" s="27">
        <f>IF(NOT(Daten!Q5&lt;&gt;0),"",ROUND(Daten!N5/13/30,0))</f>
        <v/>
      </c>
      <c r="W5" s="27">
        <f>IF(V5="","",ROUND(V5*Daten!C5/Daten!D5,0))</f>
        <v/>
      </c>
      <c r="X5" s="28">
        <f>IF(W5="","",IF(AND(Daten!A5&lt;&gt;"",Daten!A5&lt;=DATE(2026,6,30),DATE(2026,6,30)&lt;Daten!A5+180),0,INDEX('TH-Zulagen'!D$2:D$22,W5+1)))</f>
        <v/>
      </c>
      <c r="Y5" s="28">
        <f>IF(NOT(Daten!Q5&lt;&gt;0),"",Parameter!D7+IF(X5="",0,X5))</f>
        <v/>
      </c>
      <c r="Z5" s="130">
        <f>IF(NOT(Daten!Q5&lt;&gt;0),"",Daten!O5-Daten!P5)</f>
        <v/>
      </c>
      <c r="AA5" s="130">
        <f>IF(Z5="","",Z5*Parameter!D4)</f>
        <v/>
      </c>
      <c r="AB5" s="130">
        <f>IF(AA5="","",AA5*(1-Parameter!D5))</f>
        <v/>
      </c>
      <c r="AC5" s="28">
        <f>IF(AB5="","",AB5*Parameter!D6)</f>
        <v/>
      </c>
      <c r="AD5" s="41">
        <f>IF(NOT(Daten!Q5&lt;&gt;0),"",ROUND(Daten!Q5/AC5*110/1.17,1))</f>
        <v/>
      </c>
      <c r="AE5" s="27">
        <f>IF(NOT(Daten!Q5&lt;&gt;0),"",IF(AND(AD5&gt;=Stufentabelle!B7,U5&gt;=Stufentabelle!D7),6,IF(AND(AD5&gt;=Stufentabelle!B6,U5&gt;=Stufentabelle!D6),5,IF(AND(AD5&gt;=Stufentabelle!B5,U5&gt;=Stufentabelle!D5),4,IF(AND(AD5&gt;=Stufentabelle!B4,U5&gt;=Stufentabelle!D4),3,IF(AND(AD5&gt;=Stufentabelle!B3,U5&gt;=Stufentabelle!D3),2,IF(AND(AD5&gt;=Stufentabelle!B2,U5&gt;=Stufentabelle!D2),1,0)))))))</f>
        <v/>
      </c>
      <c r="AF5" s="27">
        <f>IF(O5="",Daten!E5,O5)</f>
        <v/>
      </c>
      <c r="AG5" s="42">
        <f>IF(NOT(Daten!Q5&lt;&gt;0),"",IF(AND(Daten!A5&lt;&gt;"",Daten!A5&lt;=DATE(2026,6,30),DATE(2026,6,30)&lt;Daten!A5+180),Daten!E5,IF(OR(AE5="",AE5=0),MAX(AF5-1,1),IF(AE5&gt;AF5+1,AF5+1,IF(AE5&lt;AF5-1,MAX(AF5-1,1),AE5)))))</f>
        <v/>
      </c>
      <c r="AH5" s="43">
        <f>IF(AG5="","",CHOOSE(AG5,"Basis","Gut","Stark","Sehr stark","Exzellent","Herrausragend"))</f>
        <v/>
      </c>
      <c r="AI5" s="44">
        <f>IF(AG5="","",INDEX(Stufentabelle!E2:E7,MATCH(AG5,Stufentabelle!A2:A7,0)))</f>
        <v/>
      </c>
      <c r="AJ5" s="28">
        <f>IF(OR(AG5="",Y5=""),"",ROUND(Y5*(1+AI5)*(Daten!C5/40),0))</f>
        <v/>
      </c>
      <c r="AK5" s="28">
        <f>IF(AJ5="","",MAX(AJ5,ROUND(Daten!F5*(Daten!C5/40),0)))</f>
        <v/>
      </c>
      <c r="AL5" s="45">
        <f>IF(AK5="","",ROUND(AK5/12,0))</f>
        <v/>
      </c>
      <c r="AM5" s="39">
        <f>IF(NOT(Daten!X5&lt;&gt;0),"",ROUND(Daten!Y5*0.2+Daten!Z5*0.2+Daten!AA5*0.6,1))</f>
        <v/>
      </c>
      <c r="AN5" s="27">
        <f>IF(NOT(Daten!X5&lt;&gt;0),"",ROUND(Daten!U5/13/30,0))</f>
        <v/>
      </c>
      <c r="AO5" s="27">
        <f>IF(AN5="","",ROUND(AN5*Daten!C5/Daten!D5,0))</f>
        <v/>
      </c>
      <c r="AP5" s="28">
        <f>IF(AO5="","",IF(AND(Daten!A5&lt;&gt;"",Daten!A5&lt;=DATE(2026,9,30),DATE(2026,9,30)&lt;Daten!A5+180),0,INDEX('TH-Zulagen'!D$2:D$22,AO5+1)))</f>
        <v/>
      </c>
      <c r="AQ5" s="28">
        <f>IF(NOT(Daten!X5&lt;&gt;0),"",Parameter!D7+IF(AP5="",0,AP5))</f>
        <v/>
      </c>
      <c r="AR5" s="130">
        <f>IF(NOT(Daten!X5&lt;&gt;0),"",Daten!V5-Daten!W5)</f>
        <v/>
      </c>
      <c r="AS5" s="130">
        <f>IF(AR5="","",AR5*Parameter!D4)</f>
        <v/>
      </c>
      <c r="AT5" s="130">
        <f>IF(AS5="","",AS5*(1-Parameter!D5))</f>
        <v/>
      </c>
      <c r="AU5" s="28">
        <f>IF(AT5="","",AT5*Parameter!D6)</f>
        <v/>
      </c>
      <c r="AV5" s="41">
        <f>IF(NOT(Daten!X5&lt;&gt;0),"",ROUND(Daten!X5/AU5*110/1.17,1))</f>
        <v/>
      </c>
      <c r="AW5" s="27">
        <f>IF(NOT(Daten!X5&lt;&gt;0),"",IF(AND(AV5&gt;=Stufentabelle!B7,AM5&gt;=Stufentabelle!D7),6,IF(AND(AV5&gt;=Stufentabelle!B6,AM5&gt;=Stufentabelle!D6),5,IF(AND(AV5&gt;=Stufentabelle!B5,AM5&gt;=Stufentabelle!D5),4,IF(AND(AV5&gt;=Stufentabelle!B4,AM5&gt;=Stufentabelle!D4),3,IF(AND(AV5&gt;=Stufentabelle!B3,AM5&gt;=Stufentabelle!D3),2,IF(AND(AV5&gt;=Stufentabelle!B2,AM5&gt;=Stufentabelle!D2),1,0)))))))</f>
        <v/>
      </c>
      <c r="AX5" s="27">
        <f>IF(AG5="",IF(O5="",Daten!E5,O5),AG5)</f>
        <v/>
      </c>
      <c r="AY5" s="42">
        <f>IF(NOT(Daten!X5&lt;&gt;0),"",IF(AND(Daten!A5&lt;&gt;"",Daten!A5&lt;=DATE(2026,9,30),DATE(2026,9,30)&lt;Daten!A5+180),Daten!E5,IF(OR(AW5="",AW5=0),MAX(AX5-1,1),IF(AW5&gt;AX5+1,AX5+1,IF(AW5&lt;AX5-1,MAX(AX5-1,1),AW5)))))</f>
        <v/>
      </c>
      <c r="AZ5" s="43">
        <f>IF(AY5="","",CHOOSE(AY5,"Basis","Gut","Stark","Sehr stark","Exzellent","Herrausragend"))</f>
        <v/>
      </c>
      <c r="BA5" s="44">
        <f>IF(AY5="","",INDEX(Stufentabelle!E2:E7,MATCH(AY5,Stufentabelle!A2:A7,0)))</f>
        <v/>
      </c>
      <c r="BB5" s="28">
        <f>IF(OR(AY5="",AQ5=""),"",ROUND(AQ5*(1+BA5)*(Daten!C5/40),0))</f>
        <v/>
      </c>
      <c r="BC5" s="28">
        <f>IF(BB5="","",MAX(BB5,ROUND(Daten!F5*(Daten!C5/40),0)))</f>
        <v/>
      </c>
      <c r="BD5" s="45">
        <f>IF(BC5="","",ROUND(BC5/12,0))</f>
        <v/>
      </c>
      <c r="BE5" s="39">
        <f>IF(NOT(Daten!AE5&lt;&gt;0),"",ROUND(Daten!AF5*0.2+Daten!AG5*0.2+Daten!AH5*0.6,1))</f>
        <v/>
      </c>
      <c r="BF5" s="27">
        <f>IF(NOT(Daten!AE5&lt;&gt;0),"",ROUND(Daten!AB5/13/30,0))</f>
        <v/>
      </c>
      <c r="BG5" s="27">
        <f>IF(BF5="","",ROUND(BF5*Daten!C5/Daten!D5,0))</f>
        <v/>
      </c>
      <c r="BH5" s="28">
        <f>IF(BG5="","",IF(AND(Daten!A5&lt;&gt;"",Daten!A5&lt;=DATE(2026,12,31),DATE(2026,12,31)&lt;Daten!A5+180),0,INDEX('TH-Zulagen'!D$2:D$22,BG5+1)))</f>
        <v/>
      </c>
      <c r="BI5" s="28">
        <f>IF(NOT(Daten!AE5&lt;&gt;0),"",Parameter!D7+IF(BH5="",0,BH5))</f>
        <v/>
      </c>
      <c r="BJ5" s="130">
        <f>IF(NOT(Daten!AE5&lt;&gt;0),"",Daten!AC5-Daten!AD5)</f>
        <v/>
      </c>
      <c r="BK5" s="130">
        <f>IF(BJ5="","",BJ5*Parameter!D4)</f>
        <v/>
      </c>
      <c r="BL5" s="130">
        <f>IF(BK5="","",BK5*(1-Parameter!D5))</f>
        <v/>
      </c>
      <c r="BM5" s="28">
        <f>IF(BL5="","",BL5*Parameter!D6)</f>
        <v/>
      </c>
      <c r="BN5" s="41">
        <f>IF(NOT(Daten!AE5&lt;&gt;0),"",ROUND(Daten!AE5/BM5*110/1.17,1))</f>
        <v/>
      </c>
      <c r="BO5" s="27">
        <f>IF(NOT(Daten!AE5&lt;&gt;0),"",IF(AND(BN5&gt;=Stufentabelle!B7,BE5&gt;=Stufentabelle!D7),6,IF(AND(BN5&gt;=Stufentabelle!B6,BE5&gt;=Stufentabelle!D6),5,IF(AND(BN5&gt;=Stufentabelle!B5,BE5&gt;=Stufentabelle!D5),4,IF(AND(BN5&gt;=Stufentabelle!B4,BE5&gt;=Stufentabelle!D4),3,IF(AND(BN5&gt;=Stufentabelle!B3,BE5&gt;=Stufentabelle!D3),2,IF(AND(BN5&gt;=Stufentabelle!B2,BE5&gt;=Stufentabelle!D2),1,0)))))))</f>
        <v/>
      </c>
      <c r="BP5" s="27">
        <f>IF(AY5="",IF(AG5="",IF(O5="",Daten!E5,O5),AG5),AY5)</f>
        <v/>
      </c>
      <c r="BQ5" s="42">
        <f>IF(NOT(Daten!AE5&lt;&gt;0),"",IF(AND(Daten!A5&lt;&gt;"",Daten!A5&lt;=DATE(2026,12,31),DATE(2026,12,31)&lt;Daten!A5+180),Daten!E5,IF(OR(BO5="",BO5=0),MAX(BP5-1,1),IF(BO5&gt;BP5+1,BP5+1,IF(BO5&lt;BP5-1,MAX(BP5-1,1),BO5)))))</f>
        <v/>
      </c>
      <c r="BR5" s="43">
        <f>IF(BQ5="","",CHOOSE(BQ5,"Basis","Gut","Stark","Sehr stark","Exzellent","Herrausragend"))</f>
        <v/>
      </c>
      <c r="BS5" s="44">
        <f>IF(BQ5="","",INDEX(Stufentabelle!E2:E7,MATCH(BQ5,Stufentabelle!A2:A7,0)))</f>
        <v/>
      </c>
      <c r="BT5" s="28">
        <f>IF(OR(BQ5="",BI5=""),"",ROUND(BI5*(1+BS5)*(Daten!C5/40),0))</f>
        <v/>
      </c>
      <c r="BU5" s="28">
        <f>IF(BT5="","",MAX(BT5,ROUND(Daten!F5*(Daten!C5/40),0)))</f>
        <v/>
      </c>
      <c r="BV5" s="45">
        <f>IF(BU5="","",ROUND(BU5/12,0))</f>
        <v/>
      </c>
      <c r="BW5" s="39">
        <f>IF(NOT(Daten!AL5&lt;&gt;0),"",ROUND(Daten!AM5*0.2+Daten!AN5*0.2+Daten!AO5*0.6,1))</f>
        <v/>
      </c>
      <c r="BX5" s="27">
        <f>IF(NOT(Daten!AL5&lt;&gt;0),"",ROUND(Daten!AI5/13/30,0))</f>
        <v/>
      </c>
      <c r="BY5" s="27">
        <f>IF(BX5="","",ROUND(BX5*Daten!C5/Daten!D5,0))</f>
        <v/>
      </c>
      <c r="BZ5" s="28">
        <f>IF(BY5="","",IF(AND(Daten!A5&lt;&gt;"",Daten!A5&lt;=DATE(2027,3,31),DATE(2027,3,31)&lt;Daten!A5+180),0,INDEX('TH-Zulagen'!D$2:D$22,BY5+1)))</f>
        <v/>
      </c>
      <c r="CA5" s="28">
        <f>IF(NOT(Daten!AL5&lt;&gt;0),"",Parameter!D7+IF(BZ5="",0,BZ5))</f>
        <v/>
      </c>
      <c r="CB5" s="130">
        <f>IF(NOT(Daten!AL5&lt;&gt;0),"",Daten!AJ5-Daten!AK5)</f>
        <v/>
      </c>
      <c r="CC5" s="130">
        <f>IF(CB5="","",CB5*Parameter!D4)</f>
        <v/>
      </c>
      <c r="CD5" s="130">
        <f>IF(CC5="","",CC5*(1-Parameter!D5))</f>
        <v/>
      </c>
      <c r="CE5" s="28">
        <f>IF(CD5="","",CD5*Parameter!D6)</f>
        <v/>
      </c>
      <c r="CF5" s="41">
        <f>IF(NOT(Daten!AL5&lt;&gt;0),"",ROUND(Daten!AL5/CE5*110/1.17,1))</f>
        <v/>
      </c>
      <c r="CG5" s="27">
        <f>IF(NOT(Daten!AL5&lt;&gt;0),"",IF(AND(CF5&gt;=Stufentabelle!B7,BW5&gt;=Stufentabelle!D7),6,IF(AND(CF5&gt;=Stufentabelle!B6,BW5&gt;=Stufentabelle!D6),5,IF(AND(CF5&gt;=Stufentabelle!B5,BW5&gt;=Stufentabelle!D5),4,IF(AND(CF5&gt;=Stufentabelle!B4,BW5&gt;=Stufentabelle!D4),3,IF(AND(CF5&gt;=Stufentabelle!B3,BW5&gt;=Stufentabelle!D3),2,IF(AND(CF5&gt;=Stufentabelle!B2,BW5&gt;=Stufentabelle!D2),1,0)))))))</f>
        <v/>
      </c>
      <c r="CH5" s="27">
        <f>IF(BQ5="",IF(AY5="",IF(AG5="",IF(O5="",Daten!E5,O5),AG5),AY5),BQ5)</f>
        <v/>
      </c>
      <c r="CI5" s="42">
        <f>IF(NOT(Daten!AL5&lt;&gt;0),"",IF(AND(Daten!A5&lt;&gt;"",Daten!A5&lt;=DATE(2027,3,31),DATE(2027,3,31)&lt;Daten!A5+180),Daten!E5,IF(OR(CG5="",CG5=0),MAX(CH5-1,1),IF(CG5&gt;CH5+1,CH5+1,IF(CG5&lt;CH5-1,MAX(CH5-1,1),CG5)))))</f>
        <v/>
      </c>
      <c r="CJ5" s="43">
        <f>IF(CI5="","",CHOOSE(CI5,"Basis","Gut","Stark","Sehr stark","Exzellent","Herrausragend"))</f>
        <v/>
      </c>
      <c r="CK5" s="44">
        <f>IF(CI5="","",INDEX(Stufentabelle!E2:E7,MATCH(CI5,Stufentabelle!A2:A7,0)))</f>
        <v/>
      </c>
      <c r="CL5" s="28">
        <f>IF(OR(CI5="",CA5=""),"",ROUND(CA5*(1+CK5)*(Daten!C5/40),0))</f>
        <v/>
      </c>
      <c r="CM5" s="28">
        <f>IF(CL5="","",MAX(CL5,ROUND(Daten!F5*(Daten!C5/40),0)))</f>
        <v/>
      </c>
      <c r="CN5" s="45">
        <f>IF(CM5="","",ROUND(CM5/12,0))</f>
        <v/>
      </c>
      <c r="CO5" s="39">
        <f>IF(NOT(Daten!AS5&lt;&gt;0),"",ROUND(Daten!AT5*0.2+Daten!AU5*0.2+Daten!AV5*0.6,1))</f>
        <v/>
      </c>
      <c r="CP5" s="27">
        <f>IF(NOT(Daten!AS5&lt;&gt;0),"",ROUND(Daten!AP5/13/30,0))</f>
        <v/>
      </c>
      <c r="CQ5" s="27">
        <f>IF(CP5="","",ROUND(CP5*Daten!C5/Daten!D5,0))</f>
        <v/>
      </c>
      <c r="CR5" s="28">
        <f>IF(CQ5="","",IF(AND(Daten!A5&lt;&gt;"",Daten!A5&lt;=DATE(2027,6,30),DATE(2027,6,30)&lt;Daten!A5+180),0,INDEX('TH-Zulagen'!D$2:D$22,CQ5+1)))</f>
        <v/>
      </c>
      <c r="CS5" s="28">
        <f>IF(NOT(Daten!AS5&lt;&gt;0),"",Parameter!D7+IF(CR5="",0,CR5))</f>
        <v/>
      </c>
      <c r="CT5" s="130">
        <f>IF(NOT(Daten!AS5&lt;&gt;0),"",Daten!AQ5-Daten!AR5)</f>
        <v/>
      </c>
      <c r="CU5" s="130">
        <f>IF(CT5="","",CT5*Parameter!D4)</f>
        <v/>
      </c>
      <c r="CV5" s="130">
        <f>IF(CU5="","",CU5*(1-Parameter!D5))</f>
        <v/>
      </c>
      <c r="CW5" s="28">
        <f>IF(CV5="","",CV5*Parameter!D6)</f>
        <v/>
      </c>
      <c r="CX5" s="41">
        <f>IF(NOT(Daten!AS5&lt;&gt;0),"",ROUND(Daten!AS5/CW5*110/1.17,1))</f>
        <v/>
      </c>
      <c r="CY5" s="27">
        <f>IF(NOT(Daten!AS5&lt;&gt;0),"",IF(AND(CX5&gt;=Stufentabelle!B7,CO5&gt;=Stufentabelle!D7),6,IF(AND(CX5&gt;=Stufentabelle!B6,CO5&gt;=Stufentabelle!D6),5,IF(AND(CX5&gt;=Stufentabelle!B5,CO5&gt;=Stufentabelle!D5),4,IF(AND(CX5&gt;=Stufentabelle!B4,CO5&gt;=Stufentabelle!D4),3,IF(AND(CX5&gt;=Stufentabelle!B3,CO5&gt;=Stufentabelle!D3),2,IF(AND(CX5&gt;=Stufentabelle!B2,CO5&gt;=Stufentabelle!D2),1,0)))))))</f>
        <v/>
      </c>
      <c r="CZ5" s="27">
        <f>IF(CI5="",IF(BQ5="",IF(AY5="",IF(AG5="",IF(O5="",Daten!E5,O5),AG5),AY5),BQ5),CI5)</f>
        <v/>
      </c>
      <c r="DA5" s="42">
        <f>IF(NOT(Daten!AS5&lt;&gt;0),"",IF(AND(Daten!A5&lt;&gt;"",Daten!A5&lt;=DATE(2027,6,30),DATE(2027,6,30)&lt;Daten!A5+180),Daten!E5,IF(OR(CY5="",CY5=0),MAX(CZ5-1,1),IF(CY5&gt;CZ5+1,CZ5+1,IF(CY5&lt;CZ5-1,MAX(CZ5-1,1),CY5)))))</f>
        <v/>
      </c>
      <c r="DB5" s="43">
        <f>IF(DA5="","",CHOOSE(DA5,"Basis","Gut","Stark","Sehr stark","Exzellent","Herrausragend"))</f>
        <v/>
      </c>
      <c r="DC5" s="44">
        <f>IF(DA5="","",INDEX(Stufentabelle!E2:E7,MATCH(DA5,Stufentabelle!A2:A7,0)))</f>
        <v/>
      </c>
      <c r="DD5" s="28">
        <f>IF(OR(DA5="",CS5=""),"",ROUND(CS5*(1+DC5)*(Daten!C5/40),0))</f>
        <v/>
      </c>
      <c r="DE5" s="28">
        <f>IF(DD5="","",MAX(DD5,ROUND(Daten!F5*(Daten!C5/40),0)))</f>
        <v/>
      </c>
      <c r="DF5" s="45">
        <f>IF(DE5="","",ROUND(DE5/12,0))</f>
        <v/>
      </c>
      <c r="DG5" s="39">
        <f>IF(NOT(Daten!AZ5&lt;&gt;0),"",ROUND(Daten!BA5*0.2+Daten!BB5*0.2+Daten!BC5*0.6,1))</f>
        <v/>
      </c>
      <c r="DH5" s="27">
        <f>IF(NOT(Daten!AZ5&lt;&gt;0),"",ROUND(Daten!AW5/13/30,0))</f>
        <v/>
      </c>
      <c r="DI5" s="27">
        <f>IF(DH5="","",ROUND(DH5*Daten!C5/Daten!D5,0))</f>
        <v/>
      </c>
      <c r="DJ5" s="28">
        <f>IF(DI5="","",IF(AND(Daten!A5&lt;&gt;"",Daten!A5&lt;=DATE(2027,9,30),DATE(2027,9,30)&lt;Daten!A5+180),0,INDEX('TH-Zulagen'!D$2:D$22,DI5+1)))</f>
        <v/>
      </c>
      <c r="DK5" s="28">
        <f>IF(NOT(Daten!AZ5&lt;&gt;0),"",Parameter!D7+IF(DJ5="",0,DJ5))</f>
        <v/>
      </c>
      <c r="DL5" s="130">
        <f>IF(NOT(Daten!AZ5&lt;&gt;0),"",Daten!AX5-Daten!AY5)</f>
        <v/>
      </c>
      <c r="DM5" s="130">
        <f>IF(DL5="","",DL5*Parameter!D4)</f>
        <v/>
      </c>
      <c r="DN5" s="130">
        <f>IF(DM5="","",DM5*(1-Parameter!D5))</f>
        <v/>
      </c>
      <c r="DO5" s="28">
        <f>IF(DN5="","",DN5*Parameter!D6)</f>
        <v/>
      </c>
      <c r="DP5" s="41">
        <f>IF(NOT(Daten!AZ5&lt;&gt;0),"",ROUND(Daten!AZ5/DO5*110/1.17,1))</f>
        <v/>
      </c>
      <c r="DQ5" s="27">
        <f>IF(NOT(Daten!AZ5&lt;&gt;0),"",IF(AND(DP5&gt;=Stufentabelle!B7,DG5&gt;=Stufentabelle!D7),6,IF(AND(DP5&gt;=Stufentabelle!B6,DG5&gt;=Stufentabelle!D6),5,IF(AND(DP5&gt;=Stufentabelle!B5,DG5&gt;=Stufentabelle!D5),4,IF(AND(DP5&gt;=Stufentabelle!B4,DG5&gt;=Stufentabelle!D4),3,IF(AND(DP5&gt;=Stufentabelle!B3,DG5&gt;=Stufentabelle!D3),2,IF(AND(DP5&gt;=Stufentabelle!B2,DG5&gt;=Stufentabelle!D2),1,0)))))))</f>
        <v/>
      </c>
      <c r="DR5" s="27">
        <f>IF(DA5="",IF(CI5="",IF(BQ5="",IF(AY5="",IF(AG5="",IF(O5="",Daten!E5,O5),AG5),AY5),BQ5),CI5),DA5)</f>
        <v/>
      </c>
      <c r="DS5" s="42">
        <f>IF(NOT(Daten!AZ5&lt;&gt;0),"",IF(AND(Daten!A5&lt;&gt;"",Daten!A5&lt;=DATE(2027,9,30),DATE(2027,9,30)&lt;Daten!A5+180),Daten!E5,IF(OR(DQ5="",DQ5=0),MAX(DR5-1,1),IF(DQ5&gt;DR5+1,DR5+1,IF(DQ5&lt;DR5-1,MAX(DR5-1,1),DQ5)))))</f>
        <v/>
      </c>
      <c r="DT5" s="43">
        <f>IF(DS5="","",CHOOSE(DS5,"Basis","Gut","Stark","Sehr stark","Exzellent","Herrausragend"))</f>
        <v/>
      </c>
      <c r="DU5" s="44">
        <f>IF(DS5="","",INDEX(Stufentabelle!E2:E7,MATCH(DS5,Stufentabelle!A2:A7,0)))</f>
        <v/>
      </c>
      <c r="DV5" s="28">
        <f>IF(OR(DS5="",DK5=""),"",ROUND(DK5*(1+DU5)*(Daten!C5/40),0))</f>
        <v/>
      </c>
      <c r="DW5" s="28">
        <f>IF(DV5="","",MAX(DV5,ROUND(Daten!F5*(Daten!C5/40),0)))</f>
        <v/>
      </c>
      <c r="DX5" s="45">
        <f>IF(DW5="","",ROUND(DW5/12,0))</f>
        <v/>
      </c>
    </row>
    <row r="6" ht="22" customHeight="1" s="97">
      <c r="B6" s="38">
        <f>Daten!B6</f>
        <v/>
      </c>
      <c r="C6" s="39">
        <f>IF(NOT(Daten!J6&lt;&gt;0),"",ROUND(Daten!K6*0.2+Daten!L6*0.2+Daten!M6*0.6,1))</f>
        <v/>
      </c>
      <c r="D6" s="27">
        <f>IF(NOT(Daten!J6&lt;&gt;0),"",ROUND(Daten!G6/13/30,0))</f>
        <v/>
      </c>
      <c r="E6" s="27">
        <f>IF(D6="","",ROUND(D6*Daten!C6/Daten!D6,0))</f>
        <v/>
      </c>
      <c r="F6" s="28">
        <f>IF(E6="","",IF(AND(Daten!A6&lt;&gt;"",Daten!A6&lt;=DATE(2026,3,31),DATE(2026,3,31)&lt;Daten!A6+180),0,INDEX('TH-Zulagen'!D$2:D$22,E6+1)))</f>
        <v/>
      </c>
      <c r="G6" s="28">
        <f>IF(NOT(Daten!J6&lt;&gt;0),"",Parameter!D7+IF(F6="",0,F6))</f>
        <v/>
      </c>
      <c r="H6" s="130">
        <f>IF(NOT(Daten!J6&lt;&gt;0),"",Daten!H6-Daten!I6)</f>
        <v/>
      </c>
      <c r="I6" s="130">
        <f>IF(H6="","",H6*Parameter!D4)</f>
        <v/>
      </c>
      <c r="J6" s="130">
        <f>IF(I6="","",I6*(1-Parameter!D5))</f>
        <v/>
      </c>
      <c r="K6" s="28">
        <f>IF(J6="","",J6*Parameter!D6)</f>
        <v/>
      </c>
      <c r="L6" s="41">
        <f>IF(NOT(Daten!J6&lt;&gt;0),"",ROUND(Daten!J6/K6*110/1.17,1))</f>
        <v/>
      </c>
      <c r="M6" s="27">
        <f>IF(NOT(Daten!J6&lt;&gt;0),"",IF(AND(L6&gt;=Stufentabelle!B7,C6&gt;=Stufentabelle!D7),6,IF(AND(L6&gt;=Stufentabelle!B6,C6&gt;=Stufentabelle!D6),5,IF(AND(L6&gt;=Stufentabelle!B5,C6&gt;=Stufentabelle!D5),4,IF(AND(L6&gt;=Stufentabelle!B4,C6&gt;=Stufentabelle!D4),3,IF(AND(L6&gt;=Stufentabelle!B3,C6&gt;=Stufentabelle!D3),2,IF(AND(L6&gt;=Stufentabelle!B2,C6&gt;=Stufentabelle!D2),1,0)))))))</f>
        <v/>
      </c>
      <c r="N6" s="27">
        <f>Daten!E6</f>
        <v/>
      </c>
      <c r="O6" s="42">
        <f>IF(NOT(Daten!J6&lt;&gt;0),"",IF(AND(Daten!A6&lt;&gt;"",Daten!A6&lt;=DATE(2026,3,31),DATE(2026,3,31)&lt;Daten!A6+180),Daten!E6,IF(OR(M6="",M6=0),MAX(N6-1,1),IF(M6&gt;N6+1,N6+1,IF(M6&lt;N6-1,MAX(N6-1,1),M6)))))</f>
        <v/>
      </c>
      <c r="P6" s="43">
        <f>IF(O6="","",CHOOSE(O6,"Basis","Gut","Stark","Sehr stark","Exzellent","Herrausragend"))</f>
        <v/>
      </c>
      <c r="Q6" s="44">
        <f>IF(O6="","",INDEX(Stufentabelle!E2:E7,MATCH(O6,Stufentabelle!A2:A7,0)))</f>
        <v/>
      </c>
      <c r="R6" s="28">
        <f>IF(OR(O6="",G6=""),"",ROUND(G6*(1+Q6)*(Daten!C6/40),0))</f>
        <v/>
      </c>
      <c r="S6" s="28">
        <f>IF(R6="","",MAX(R6,ROUND(Daten!F6*(Daten!C6/40),0)))</f>
        <v/>
      </c>
      <c r="T6" s="45">
        <f>IF(S6="","",ROUND(S6/12,0))</f>
        <v/>
      </c>
      <c r="U6" s="39">
        <f>IF(NOT(Daten!Q6&lt;&gt;0),"",ROUND(Daten!R6*0.2+Daten!S6*0.2+Daten!T6*0.6,1))</f>
        <v/>
      </c>
      <c r="V6" s="27">
        <f>IF(NOT(Daten!Q6&lt;&gt;0),"",ROUND(Daten!N6/13/30,0))</f>
        <v/>
      </c>
      <c r="W6" s="27">
        <f>IF(V6="","",ROUND(V6*Daten!C6/Daten!D6,0))</f>
        <v/>
      </c>
      <c r="X6" s="28">
        <f>IF(W6="","",IF(AND(Daten!A6&lt;&gt;"",Daten!A6&lt;=DATE(2026,6,30),DATE(2026,6,30)&lt;Daten!A6+180),0,INDEX('TH-Zulagen'!D$2:D$22,W6+1)))</f>
        <v/>
      </c>
      <c r="Y6" s="28">
        <f>IF(NOT(Daten!Q6&lt;&gt;0),"",Parameter!D7+IF(X6="",0,X6))</f>
        <v/>
      </c>
      <c r="Z6" s="130">
        <f>IF(NOT(Daten!Q6&lt;&gt;0),"",Daten!O6-Daten!P6)</f>
        <v/>
      </c>
      <c r="AA6" s="130">
        <f>IF(Z6="","",Z6*Parameter!D4)</f>
        <v/>
      </c>
      <c r="AB6" s="130">
        <f>IF(AA6="","",AA6*(1-Parameter!D5))</f>
        <v/>
      </c>
      <c r="AC6" s="28">
        <f>IF(AB6="","",AB6*Parameter!D6)</f>
        <v/>
      </c>
      <c r="AD6" s="41">
        <f>IF(NOT(Daten!Q6&lt;&gt;0),"",ROUND(Daten!Q6/AC6*110/1.17,1))</f>
        <v/>
      </c>
      <c r="AE6" s="27">
        <f>IF(NOT(Daten!Q6&lt;&gt;0),"",IF(AND(AD6&gt;=Stufentabelle!B7,U6&gt;=Stufentabelle!D7),6,IF(AND(AD6&gt;=Stufentabelle!B6,U6&gt;=Stufentabelle!D6),5,IF(AND(AD6&gt;=Stufentabelle!B5,U6&gt;=Stufentabelle!D5),4,IF(AND(AD6&gt;=Stufentabelle!B4,U6&gt;=Stufentabelle!D4),3,IF(AND(AD6&gt;=Stufentabelle!B3,U6&gt;=Stufentabelle!D3),2,IF(AND(AD6&gt;=Stufentabelle!B2,U6&gt;=Stufentabelle!D2),1,0)))))))</f>
        <v/>
      </c>
      <c r="AF6" s="27">
        <f>IF(O6="",Daten!E6,O6)</f>
        <v/>
      </c>
      <c r="AG6" s="42">
        <f>IF(NOT(Daten!Q6&lt;&gt;0),"",IF(AND(Daten!A6&lt;&gt;"",Daten!A6&lt;=DATE(2026,6,30),DATE(2026,6,30)&lt;Daten!A6+180),Daten!E6,IF(OR(AE6="",AE6=0),MAX(AF6-1,1),IF(AE6&gt;AF6+1,AF6+1,IF(AE6&lt;AF6-1,MAX(AF6-1,1),AE6)))))</f>
        <v/>
      </c>
      <c r="AH6" s="43">
        <f>IF(AG6="","",CHOOSE(AG6,"Basis","Gut","Stark","Sehr stark","Exzellent","Herrausragend"))</f>
        <v/>
      </c>
      <c r="AI6" s="44">
        <f>IF(AG6="","",INDEX(Stufentabelle!E2:E7,MATCH(AG6,Stufentabelle!A2:A7,0)))</f>
        <v/>
      </c>
      <c r="AJ6" s="28">
        <f>IF(OR(AG6="",Y6=""),"",ROUND(Y6*(1+AI6)*(Daten!C6/40),0))</f>
        <v/>
      </c>
      <c r="AK6" s="28">
        <f>IF(AJ6="","",MAX(AJ6,ROUND(Daten!F6*(Daten!C6/40),0)))</f>
        <v/>
      </c>
      <c r="AL6" s="45">
        <f>IF(AK6="","",ROUND(AK6/12,0))</f>
        <v/>
      </c>
      <c r="AM6" s="39">
        <f>IF(NOT(Daten!X6&lt;&gt;0),"",ROUND(Daten!Y6*0.2+Daten!Z6*0.2+Daten!AA6*0.6,1))</f>
        <v/>
      </c>
      <c r="AN6" s="27">
        <f>IF(NOT(Daten!X6&lt;&gt;0),"",ROUND(Daten!U6/13/30,0))</f>
        <v/>
      </c>
      <c r="AO6" s="27">
        <f>IF(AN6="","",ROUND(AN6*Daten!C6/Daten!D6,0))</f>
        <v/>
      </c>
      <c r="AP6" s="28">
        <f>IF(AO6="","",IF(AND(Daten!A6&lt;&gt;"",Daten!A6&lt;=DATE(2026,9,30),DATE(2026,9,30)&lt;Daten!A6+180),0,INDEX('TH-Zulagen'!D$2:D$22,AO6+1)))</f>
        <v/>
      </c>
      <c r="AQ6" s="28">
        <f>IF(NOT(Daten!X6&lt;&gt;0),"",Parameter!D7+IF(AP6="",0,AP6))</f>
        <v/>
      </c>
      <c r="AR6" s="130">
        <f>IF(NOT(Daten!X6&lt;&gt;0),"",Daten!V6-Daten!W6)</f>
        <v/>
      </c>
      <c r="AS6" s="130">
        <f>IF(AR6="","",AR6*Parameter!D4)</f>
        <v/>
      </c>
      <c r="AT6" s="130">
        <f>IF(AS6="","",AS6*(1-Parameter!D5))</f>
        <v/>
      </c>
      <c r="AU6" s="28">
        <f>IF(AT6="","",AT6*Parameter!D6)</f>
        <v/>
      </c>
      <c r="AV6" s="41">
        <f>IF(NOT(Daten!X6&lt;&gt;0),"",ROUND(Daten!X6/AU6*110/1.17,1))</f>
        <v/>
      </c>
      <c r="AW6" s="27">
        <f>IF(NOT(Daten!X6&lt;&gt;0),"",IF(AND(AV6&gt;=Stufentabelle!B7,AM6&gt;=Stufentabelle!D7),6,IF(AND(AV6&gt;=Stufentabelle!B6,AM6&gt;=Stufentabelle!D6),5,IF(AND(AV6&gt;=Stufentabelle!B5,AM6&gt;=Stufentabelle!D5),4,IF(AND(AV6&gt;=Stufentabelle!B4,AM6&gt;=Stufentabelle!D4),3,IF(AND(AV6&gt;=Stufentabelle!B3,AM6&gt;=Stufentabelle!D3),2,IF(AND(AV6&gt;=Stufentabelle!B2,AM6&gt;=Stufentabelle!D2),1,0)))))))</f>
        <v/>
      </c>
      <c r="AX6" s="27">
        <f>IF(AG6="",IF(O6="",Daten!E6,O6),AG6)</f>
        <v/>
      </c>
      <c r="AY6" s="42">
        <f>IF(NOT(Daten!X6&lt;&gt;0),"",IF(AND(Daten!A6&lt;&gt;"",Daten!A6&lt;=DATE(2026,9,30),DATE(2026,9,30)&lt;Daten!A6+180),Daten!E6,IF(OR(AW6="",AW6=0),MAX(AX6-1,1),IF(AW6&gt;AX6+1,AX6+1,IF(AW6&lt;AX6-1,MAX(AX6-1,1),AW6)))))</f>
        <v/>
      </c>
      <c r="AZ6" s="43">
        <f>IF(AY6="","",CHOOSE(AY6,"Basis","Gut","Stark","Sehr stark","Exzellent","Herrausragend"))</f>
        <v/>
      </c>
      <c r="BA6" s="44">
        <f>IF(AY6="","",INDEX(Stufentabelle!E2:E7,MATCH(AY6,Stufentabelle!A2:A7,0)))</f>
        <v/>
      </c>
      <c r="BB6" s="28">
        <f>IF(OR(AY6="",AQ6=""),"",ROUND(AQ6*(1+BA6)*(Daten!C6/40),0))</f>
        <v/>
      </c>
      <c r="BC6" s="28">
        <f>IF(BB6="","",MAX(BB6,ROUND(Daten!F6*(Daten!C6/40),0)))</f>
        <v/>
      </c>
      <c r="BD6" s="45">
        <f>IF(BC6="","",ROUND(BC6/12,0))</f>
        <v/>
      </c>
      <c r="BE6" s="39">
        <f>IF(NOT(Daten!AE6&lt;&gt;0),"",ROUND(Daten!AF6*0.2+Daten!AG6*0.2+Daten!AH6*0.6,1))</f>
        <v/>
      </c>
      <c r="BF6" s="27">
        <f>IF(NOT(Daten!AE6&lt;&gt;0),"",ROUND(Daten!AB6/13/30,0))</f>
        <v/>
      </c>
      <c r="BG6" s="27">
        <f>IF(BF6="","",ROUND(BF6*Daten!C6/Daten!D6,0))</f>
        <v/>
      </c>
      <c r="BH6" s="28">
        <f>IF(BG6="","",IF(AND(Daten!A6&lt;&gt;"",Daten!A6&lt;=DATE(2026,12,31),DATE(2026,12,31)&lt;Daten!A6+180),0,INDEX('TH-Zulagen'!D$2:D$22,BG6+1)))</f>
        <v/>
      </c>
      <c r="BI6" s="28">
        <f>IF(NOT(Daten!AE6&lt;&gt;0),"",Parameter!D7+IF(BH6="",0,BH6))</f>
        <v/>
      </c>
      <c r="BJ6" s="130">
        <f>IF(NOT(Daten!AE6&lt;&gt;0),"",Daten!AC6-Daten!AD6)</f>
        <v/>
      </c>
      <c r="BK6" s="130">
        <f>IF(BJ6="","",BJ6*Parameter!D4)</f>
        <v/>
      </c>
      <c r="BL6" s="130">
        <f>IF(BK6="","",BK6*(1-Parameter!D5))</f>
        <v/>
      </c>
      <c r="BM6" s="28">
        <f>IF(BL6="","",BL6*Parameter!D6)</f>
        <v/>
      </c>
      <c r="BN6" s="41">
        <f>IF(NOT(Daten!AE6&lt;&gt;0),"",ROUND(Daten!AE6/BM6*110/1.17,1))</f>
        <v/>
      </c>
      <c r="BO6" s="27">
        <f>IF(NOT(Daten!AE6&lt;&gt;0),"",IF(AND(BN6&gt;=Stufentabelle!B7,BE6&gt;=Stufentabelle!D7),6,IF(AND(BN6&gt;=Stufentabelle!B6,BE6&gt;=Stufentabelle!D6),5,IF(AND(BN6&gt;=Stufentabelle!B5,BE6&gt;=Stufentabelle!D5),4,IF(AND(BN6&gt;=Stufentabelle!B4,BE6&gt;=Stufentabelle!D4),3,IF(AND(BN6&gt;=Stufentabelle!B3,BE6&gt;=Stufentabelle!D3),2,IF(AND(BN6&gt;=Stufentabelle!B2,BE6&gt;=Stufentabelle!D2),1,0)))))))</f>
        <v/>
      </c>
      <c r="BP6" s="27">
        <f>IF(AY6="",IF(AG6="",IF(O6="",Daten!E6,O6),AG6),AY6)</f>
        <v/>
      </c>
      <c r="BQ6" s="42">
        <f>IF(NOT(Daten!AE6&lt;&gt;0),"",IF(AND(Daten!A6&lt;&gt;"",Daten!A6&lt;=DATE(2026,12,31),DATE(2026,12,31)&lt;Daten!A6+180),Daten!E6,IF(OR(BO6="",BO6=0),MAX(BP6-1,1),IF(BO6&gt;BP6+1,BP6+1,IF(BO6&lt;BP6-1,MAX(BP6-1,1),BO6)))))</f>
        <v/>
      </c>
      <c r="BR6" s="43">
        <f>IF(BQ6="","",CHOOSE(BQ6,"Basis","Gut","Stark","Sehr stark","Exzellent","Herrausragend"))</f>
        <v/>
      </c>
      <c r="BS6" s="44">
        <f>IF(BQ6="","",INDEX(Stufentabelle!E2:E7,MATCH(BQ6,Stufentabelle!A2:A7,0)))</f>
        <v/>
      </c>
      <c r="BT6" s="28">
        <f>IF(OR(BQ6="",BI6=""),"",ROUND(BI6*(1+BS6)*(Daten!C6/40),0))</f>
        <v/>
      </c>
      <c r="BU6" s="28">
        <f>IF(BT6="","",MAX(BT6,ROUND(Daten!F6*(Daten!C6/40),0)))</f>
        <v/>
      </c>
      <c r="BV6" s="45">
        <f>IF(BU6="","",ROUND(BU6/12,0))</f>
        <v/>
      </c>
      <c r="BW6" s="39">
        <f>IF(NOT(Daten!AL6&lt;&gt;0),"",ROUND(Daten!AM6*0.2+Daten!AN6*0.2+Daten!AO6*0.6,1))</f>
        <v/>
      </c>
      <c r="BX6" s="27">
        <f>IF(NOT(Daten!AL6&lt;&gt;0),"",ROUND(Daten!AI6/13/30,0))</f>
        <v/>
      </c>
      <c r="BY6" s="27">
        <f>IF(BX6="","",ROUND(BX6*Daten!C6/Daten!D6,0))</f>
        <v/>
      </c>
      <c r="BZ6" s="28">
        <f>IF(BY6="","",IF(AND(Daten!A6&lt;&gt;"",Daten!A6&lt;=DATE(2027,3,31),DATE(2027,3,31)&lt;Daten!A6+180),0,INDEX('TH-Zulagen'!D$2:D$22,BY6+1)))</f>
        <v/>
      </c>
      <c r="CA6" s="28">
        <f>IF(NOT(Daten!AL6&lt;&gt;0),"",Parameter!D7+IF(BZ6="",0,BZ6))</f>
        <v/>
      </c>
      <c r="CB6" s="130">
        <f>IF(NOT(Daten!AL6&lt;&gt;0),"",Daten!AJ6-Daten!AK6)</f>
        <v/>
      </c>
      <c r="CC6" s="130">
        <f>IF(CB6="","",CB6*Parameter!D4)</f>
        <v/>
      </c>
      <c r="CD6" s="130">
        <f>IF(CC6="","",CC6*(1-Parameter!D5))</f>
        <v/>
      </c>
      <c r="CE6" s="28">
        <f>IF(CD6="","",CD6*Parameter!D6)</f>
        <v/>
      </c>
      <c r="CF6" s="41">
        <f>IF(NOT(Daten!AL6&lt;&gt;0),"",ROUND(Daten!AL6/CE6*110/1.17,1))</f>
        <v/>
      </c>
      <c r="CG6" s="27">
        <f>IF(NOT(Daten!AL6&lt;&gt;0),"",IF(AND(CF6&gt;=Stufentabelle!B7,BW6&gt;=Stufentabelle!D7),6,IF(AND(CF6&gt;=Stufentabelle!B6,BW6&gt;=Stufentabelle!D6),5,IF(AND(CF6&gt;=Stufentabelle!B5,BW6&gt;=Stufentabelle!D5),4,IF(AND(CF6&gt;=Stufentabelle!B4,BW6&gt;=Stufentabelle!D4),3,IF(AND(CF6&gt;=Stufentabelle!B3,BW6&gt;=Stufentabelle!D3),2,IF(AND(CF6&gt;=Stufentabelle!B2,BW6&gt;=Stufentabelle!D2),1,0)))))))</f>
        <v/>
      </c>
      <c r="CH6" s="27">
        <f>IF(BQ6="",IF(AY6="",IF(AG6="",IF(O6="",Daten!E6,O6),AG6),AY6),BQ6)</f>
        <v/>
      </c>
      <c r="CI6" s="42">
        <f>IF(NOT(Daten!AL6&lt;&gt;0),"",IF(AND(Daten!A6&lt;&gt;"",Daten!A6&lt;=DATE(2027,3,31),DATE(2027,3,31)&lt;Daten!A6+180),Daten!E6,IF(OR(CG6="",CG6=0),MAX(CH6-1,1),IF(CG6&gt;CH6+1,CH6+1,IF(CG6&lt;CH6-1,MAX(CH6-1,1),CG6)))))</f>
        <v/>
      </c>
      <c r="CJ6" s="43">
        <f>IF(CI6="","",CHOOSE(CI6,"Basis","Gut","Stark","Sehr stark","Exzellent","Herrausragend"))</f>
        <v/>
      </c>
      <c r="CK6" s="44">
        <f>IF(CI6="","",INDEX(Stufentabelle!E2:E7,MATCH(CI6,Stufentabelle!A2:A7,0)))</f>
        <v/>
      </c>
      <c r="CL6" s="28">
        <f>IF(OR(CI6="",CA6=""),"",ROUND(CA6*(1+CK6)*(Daten!C6/40),0))</f>
        <v/>
      </c>
      <c r="CM6" s="28">
        <f>IF(CL6="","",MAX(CL6,ROUND(Daten!F6*(Daten!C6/40),0)))</f>
        <v/>
      </c>
      <c r="CN6" s="45">
        <f>IF(CM6="","",ROUND(CM6/12,0))</f>
        <v/>
      </c>
      <c r="CO6" s="39">
        <f>IF(NOT(Daten!AS6&lt;&gt;0),"",ROUND(Daten!AT6*0.2+Daten!AU6*0.2+Daten!AV6*0.6,1))</f>
        <v/>
      </c>
      <c r="CP6" s="27">
        <f>IF(NOT(Daten!AS6&lt;&gt;0),"",ROUND(Daten!AP6/13/30,0))</f>
        <v/>
      </c>
      <c r="CQ6" s="27">
        <f>IF(CP6="","",ROUND(CP6*Daten!C6/Daten!D6,0))</f>
        <v/>
      </c>
      <c r="CR6" s="28">
        <f>IF(CQ6="","",IF(AND(Daten!A6&lt;&gt;"",Daten!A6&lt;=DATE(2027,6,30),DATE(2027,6,30)&lt;Daten!A6+180),0,INDEX('TH-Zulagen'!D$2:D$22,CQ6+1)))</f>
        <v/>
      </c>
      <c r="CS6" s="28">
        <f>IF(NOT(Daten!AS6&lt;&gt;0),"",Parameter!D7+IF(CR6="",0,CR6))</f>
        <v/>
      </c>
      <c r="CT6" s="130">
        <f>IF(NOT(Daten!AS6&lt;&gt;0),"",Daten!AQ6-Daten!AR6)</f>
        <v/>
      </c>
      <c r="CU6" s="130">
        <f>IF(CT6="","",CT6*Parameter!D4)</f>
        <v/>
      </c>
      <c r="CV6" s="130">
        <f>IF(CU6="","",CU6*(1-Parameter!D5))</f>
        <v/>
      </c>
      <c r="CW6" s="28">
        <f>IF(CV6="","",CV6*Parameter!D6)</f>
        <v/>
      </c>
      <c r="CX6" s="41">
        <f>IF(NOT(Daten!AS6&lt;&gt;0),"",ROUND(Daten!AS6/CW6*110/1.17,1))</f>
        <v/>
      </c>
      <c r="CY6" s="27">
        <f>IF(NOT(Daten!AS6&lt;&gt;0),"",IF(AND(CX6&gt;=Stufentabelle!B7,CO6&gt;=Stufentabelle!D7),6,IF(AND(CX6&gt;=Stufentabelle!B6,CO6&gt;=Stufentabelle!D6),5,IF(AND(CX6&gt;=Stufentabelle!B5,CO6&gt;=Stufentabelle!D5),4,IF(AND(CX6&gt;=Stufentabelle!B4,CO6&gt;=Stufentabelle!D4),3,IF(AND(CX6&gt;=Stufentabelle!B3,CO6&gt;=Stufentabelle!D3),2,IF(AND(CX6&gt;=Stufentabelle!B2,CO6&gt;=Stufentabelle!D2),1,0)))))))</f>
        <v/>
      </c>
      <c r="CZ6" s="27">
        <f>IF(CI6="",IF(BQ6="",IF(AY6="",IF(AG6="",IF(O6="",Daten!E6,O6),AG6),AY6),BQ6),CI6)</f>
        <v/>
      </c>
      <c r="DA6" s="42">
        <f>IF(NOT(Daten!AS6&lt;&gt;0),"",IF(AND(Daten!A6&lt;&gt;"",Daten!A6&lt;=DATE(2027,6,30),DATE(2027,6,30)&lt;Daten!A6+180),Daten!E6,IF(OR(CY6="",CY6=0),MAX(CZ6-1,1),IF(CY6&gt;CZ6+1,CZ6+1,IF(CY6&lt;CZ6-1,MAX(CZ6-1,1),CY6)))))</f>
        <v/>
      </c>
      <c r="DB6" s="43">
        <f>IF(DA6="","",CHOOSE(DA6,"Basis","Gut","Stark","Sehr stark","Exzellent","Herrausragend"))</f>
        <v/>
      </c>
      <c r="DC6" s="44">
        <f>IF(DA6="","",INDEX(Stufentabelle!E2:E7,MATCH(DA6,Stufentabelle!A2:A7,0)))</f>
        <v/>
      </c>
      <c r="DD6" s="28">
        <f>IF(OR(DA6="",CS6=""),"",ROUND(CS6*(1+DC6)*(Daten!C6/40),0))</f>
        <v/>
      </c>
      <c r="DE6" s="28">
        <f>IF(DD6="","",MAX(DD6,ROUND(Daten!F6*(Daten!C6/40),0)))</f>
        <v/>
      </c>
      <c r="DF6" s="45">
        <f>IF(DE6="","",ROUND(DE6/12,0))</f>
        <v/>
      </c>
      <c r="DG6" s="39">
        <f>IF(NOT(Daten!AZ6&lt;&gt;0),"",ROUND(Daten!BA6*0.2+Daten!BB6*0.2+Daten!BC6*0.6,1))</f>
        <v/>
      </c>
      <c r="DH6" s="27">
        <f>IF(NOT(Daten!AZ6&lt;&gt;0),"",ROUND(Daten!AW6/13/30,0))</f>
        <v/>
      </c>
      <c r="DI6" s="27">
        <f>IF(DH6="","",ROUND(DH6*Daten!C6/Daten!D6,0))</f>
        <v/>
      </c>
      <c r="DJ6" s="28">
        <f>IF(DI6="","",IF(AND(Daten!A6&lt;&gt;"",Daten!A6&lt;=DATE(2027,9,30),DATE(2027,9,30)&lt;Daten!A6+180),0,INDEX('TH-Zulagen'!D$2:D$22,DI6+1)))</f>
        <v/>
      </c>
      <c r="DK6" s="28">
        <f>IF(NOT(Daten!AZ6&lt;&gt;0),"",Parameter!D7+IF(DJ6="",0,DJ6))</f>
        <v/>
      </c>
      <c r="DL6" s="130">
        <f>IF(NOT(Daten!AZ6&lt;&gt;0),"",Daten!AX6-Daten!AY6)</f>
        <v/>
      </c>
      <c r="DM6" s="130">
        <f>IF(DL6="","",DL6*Parameter!D4)</f>
        <v/>
      </c>
      <c r="DN6" s="130">
        <f>IF(DM6="","",DM6*(1-Parameter!D5))</f>
        <v/>
      </c>
      <c r="DO6" s="28">
        <f>IF(DN6="","",DN6*Parameter!D6)</f>
        <v/>
      </c>
      <c r="DP6" s="41">
        <f>IF(NOT(Daten!AZ6&lt;&gt;0),"",ROUND(Daten!AZ6/DO6*110/1.17,1))</f>
        <v/>
      </c>
      <c r="DQ6" s="27">
        <f>IF(NOT(Daten!AZ6&lt;&gt;0),"",IF(AND(DP6&gt;=Stufentabelle!B7,DG6&gt;=Stufentabelle!D7),6,IF(AND(DP6&gt;=Stufentabelle!B6,DG6&gt;=Stufentabelle!D6),5,IF(AND(DP6&gt;=Stufentabelle!B5,DG6&gt;=Stufentabelle!D5),4,IF(AND(DP6&gt;=Stufentabelle!B4,DG6&gt;=Stufentabelle!D4),3,IF(AND(DP6&gt;=Stufentabelle!B3,DG6&gt;=Stufentabelle!D3),2,IF(AND(DP6&gt;=Stufentabelle!B2,DG6&gt;=Stufentabelle!D2),1,0)))))))</f>
        <v/>
      </c>
      <c r="DR6" s="27">
        <f>IF(DA6="",IF(CI6="",IF(BQ6="",IF(AY6="",IF(AG6="",IF(O6="",Daten!E6,O6),AG6),AY6),BQ6),CI6),DA6)</f>
        <v/>
      </c>
      <c r="DS6" s="42">
        <f>IF(NOT(Daten!AZ6&lt;&gt;0),"",IF(AND(Daten!A6&lt;&gt;"",Daten!A6&lt;=DATE(2027,9,30),DATE(2027,9,30)&lt;Daten!A6+180),Daten!E6,IF(OR(DQ6="",DQ6=0),MAX(DR6-1,1),IF(DQ6&gt;DR6+1,DR6+1,IF(DQ6&lt;DR6-1,MAX(DR6-1,1),DQ6)))))</f>
        <v/>
      </c>
      <c r="DT6" s="43">
        <f>IF(DS6="","",CHOOSE(DS6,"Basis","Gut","Stark","Sehr stark","Exzellent","Herrausragend"))</f>
        <v/>
      </c>
      <c r="DU6" s="44">
        <f>IF(DS6="","",INDEX(Stufentabelle!E2:E7,MATCH(DS6,Stufentabelle!A2:A7,0)))</f>
        <v/>
      </c>
      <c r="DV6" s="28">
        <f>IF(OR(DS6="",DK6=""),"",ROUND(DK6*(1+DU6)*(Daten!C6/40),0))</f>
        <v/>
      </c>
      <c r="DW6" s="28">
        <f>IF(DV6="","",MAX(DV6,ROUND(Daten!F6*(Daten!C6/40),0)))</f>
        <v/>
      </c>
      <c r="DX6" s="45">
        <f>IF(DW6="","",ROUND(DW6/12,0))</f>
        <v/>
      </c>
    </row>
    <row r="7" ht="22" customHeight="1" s="97">
      <c r="B7" s="38">
        <f>Daten!B7</f>
        <v/>
      </c>
      <c r="C7" s="39">
        <f>IF(NOT(Daten!J7&lt;&gt;0),"",ROUND(Daten!K7*0.2+Daten!L7*0.2+Daten!M7*0.6,1))</f>
        <v/>
      </c>
      <c r="D7" s="27">
        <f>IF(NOT(Daten!J7&lt;&gt;0),"",ROUND(Daten!G7/13/30,0))</f>
        <v/>
      </c>
      <c r="E7" s="27">
        <f>IF(D7="","",ROUND(D7*Daten!C7/Daten!D7,0))</f>
        <v/>
      </c>
      <c r="F7" s="28">
        <f>IF(E7="","",IF(AND(Daten!A7&lt;&gt;"",Daten!A7&lt;=DATE(2026,3,31),DATE(2026,3,31)&lt;Daten!A7+180),0,INDEX('TH-Zulagen'!D$2:D$22,E7+1)))</f>
        <v/>
      </c>
      <c r="G7" s="28">
        <f>IF(NOT(Daten!J7&lt;&gt;0),"",Parameter!D7+IF(F7="",0,F7))</f>
        <v/>
      </c>
      <c r="H7" s="130">
        <f>IF(NOT(Daten!J7&lt;&gt;0),"",Daten!H7-Daten!I7)</f>
        <v/>
      </c>
      <c r="I7" s="130">
        <f>IF(H7="","",H7*Parameter!D4)</f>
        <v/>
      </c>
      <c r="J7" s="130">
        <f>IF(I7="","",I7*(1-Parameter!D5))</f>
        <v/>
      </c>
      <c r="K7" s="28">
        <f>IF(J7="","",J7*Parameter!D6)</f>
        <v/>
      </c>
      <c r="L7" s="41">
        <f>IF(NOT(Daten!J7&lt;&gt;0),"",ROUND(Daten!J7/K7*110/1.17,1))</f>
        <v/>
      </c>
      <c r="M7" s="27">
        <f>IF(NOT(Daten!J7&lt;&gt;0),"",IF(AND(L7&gt;=Stufentabelle!B7,C7&gt;=Stufentabelle!D7),6,IF(AND(L7&gt;=Stufentabelle!B6,C7&gt;=Stufentabelle!D6),5,IF(AND(L7&gt;=Stufentabelle!B5,C7&gt;=Stufentabelle!D5),4,IF(AND(L7&gt;=Stufentabelle!B4,C7&gt;=Stufentabelle!D4),3,IF(AND(L7&gt;=Stufentabelle!B3,C7&gt;=Stufentabelle!D3),2,IF(AND(L7&gt;=Stufentabelle!B2,C7&gt;=Stufentabelle!D2),1,0)))))))</f>
        <v/>
      </c>
      <c r="N7" s="27">
        <f>Daten!E7</f>
        <v/>
      </c>
      <c r="O7" s="42">
        <f>IF(NOT(Daten!J7&lt;&gt;0),"",IF(AND(Daten!A7&lt;&gt;"",Daten!A7&lt;=DATE(2026,3,31),DATE(2026,3,31)&lt;Daten!A7+180),Daten!E7,IF(OR(M7="",M7=0),MAX(N7-1,1),IF(M7&gt;N7+1,N7+1,IF(M7&lt;N7-1,MAX(N7-1,1),M7)))))</f>
        <v/>
      </c>
      <c r="P7" s="43">
        <f>IF(O7="","",CHOOSE(O7,"Basis","Gut","Stark","Sehr stark","Exzellent","Herrausragend"))</f>
        <v/>
      </c>
      <c r="Q7" s="44">
        <f>IF(O7="","",INDEX(Stufentabelle!E2:E7,MATCH(O7,Stufentabelle!A2:A7,0)))</f>
        <v/>
      </c>
      <c r="R7" s="28">
        <f>IF(OR(O7="",G7=""),"",ROUND(G7*(1+Q7)*(Daten!C7/40),0))</f>
        <v/>
      </c>
      <c r="S7" s="28">
        <f>IF(R7="","",MAX(R7,ROUND(Daten!F7*(Daten!C7/40),0)))</f>
        <v/>
      </c>
      <c r="T7" s="45">
        <f>IF(S7="","",ROUND(S7/12,0))</f>
        <v/>
      </c>
      <c r="U7" s="39">
        <f>IF(NOT(Daten!Q7&lt;&gt;0),"",ROUND(Daten!R7*0.2+Daten!S7*0.2+Daten!T7*0.6,1))</f>
        <v/>
      </c>
      <c r="V7" s="27">
        <f>IF(NOT(Daten!Q7&lt;&gt;0),"",ROUND(Daten!N7/13/30,0))</f>
        <v/>
      </c>
      <c r="W7" s="27">
        <f>IF(V7="","",ROUND(V7*Daten!C7/Daten!D7,0))</f>
        <v/>
      </c>
      <c r="X7" s="28">
        <f>IF(W7="","",IF(AND(Daten!A7&lt;&gt;"",Daten!A7&lt;=DATE(2026,6,30),DATE(2026,6,30)&lt;Daten!A7+180),0,INDEX('TH-Zulagen'!D$2:D$22,W7+1)))</f>
        <v/>
      </c>
      <c r="Y7" s="28">
        <f>IF(NOT(Daten!Q7&lt;&gt;0),"",Parameter!D7+IF(X7="",0,X7))</f>
        <v/>
      </c>
      <c r="Z7" s="130">
        <f>IF(NOT(Daten!Q7&lt;&gt;0),"",Daten!O7-Daten!P7)</f>
        <v/>
      </c>
      <c r="AA7" s="130">
        <f>IF(Z7="","",Z7*Parameter!D4)</f>
        <v/>
      </c>
      <c r="AB7" s="130">
        <f>IF(AA7="","",AA7*(1-Parameter!D5))</f>
        <v/>
      </c>
      <c r="AC7" s="28">
        <f>IF(AB7="","",AB7*Parameter!D6)</f>
        <v/>
      </c>
      <c r="AD7" s="41">
        <f>IF(NOT(Daten!Q7&lt;&gt;0),"",ROUND(Daten!Q7/AC7*110/1.17,1))</f>
        <v/>
      </c>
      <c r="AE7" s="27">
        <f>IF(NOT(Daten!Q7&lt;&gt;0),"",IF(AND(AD7&gt;=Stufentabelle!B7,U7&gt;=Stufentabelle!D7),6,IF(AND(AD7&gt;=Stufentabelle!B6,U7&gt;=Stufentabelle!D6),5,IF(AND(AD7&gt;=Stufentabelle!B5,U7&gt;=Stufentabelle!D5),4,IF(AND(AD7&gt;=Stufentabelle!B4,U7&gt;=Stufentabelle!D4),3,IF(AND(AD7&gt;=Stufentabelle!B3,U7&gt;=Stufentabelle!D3),2,IF(AND(AD7&gt;=Stufentabelle!B2,U7&gt;=Stufentabelle!D2),1,0)))))))</f>
        <v/>
      </c>
      <c r="AF7" s="27">
        <f>IF(O7="",Daten!E7,O7)</f>
        <v/>
      </c>
      <c r="AG7" s="42">
        <f>IF(NOT(Daten!Q7&lt;&gt;0),"",IF(AND(Daten!A7&lt;&gt;"",Daten!A7&lt;=DATE(2026,6,30),DATE(2026,6,30)&lt;Daten!A7+180),Daten!E7,IF(OR(AE7="",AE7=0),MAX(AF7-1,1),IF(AE7&gt;AF7+1,AF7+1,IF(AE7&lt;AF7-1,MAX(AF7-1,1),AE7)))))</f>
        <v/>
      </c>
      <c r="AH7" s="43">
        <f>IF(AG7="","",CHOOSE(AG7,"Basis","Gut","Stark","Sehr stark","Exzellent","Herrausragend"))</f>
        <v/>
      </c>
      <c r="AI7" s="44">
        <f>IF(AG7="","",INDEX(Stufentabelle!E2:E7,MATCH(AG7,Stufentabelle!A2:A7,0)))</f>
        <v/>
      </c>
      <c r="AJ7" s="28">
        <f>IF(OR(AG7="",Y7=""),"",ROUND(Y7*(1+AI7)*(Daten!C7/40),0))</f>
        <v/>
      </c>
      <c r="AK7" s="28">
        <f>IF(AJ7="","",MAX(AJ7,ROUND(Daten!F7*(Daten!C7/40),0)))</f>
        <v/>
      </c>
      <c r="AL7" s="45">
        <f>IF(AK7="","",ROUND(AK7/12,0))</f>
        <v/>
      </c>
      <c r="AM7" s="39">
        <f>IF(NOT(Daten!X7&lt;&gt;0),"",ROUND(Daten!Y7*0.2+Daten!Z7*0.2+Daten!AA7*0.6,1))</f>
        <v/>
      </c>
      <c r="AN7" s="27">
        <f>IF(NOT(Daten!X7&lt;&gt;0),"",ROUND(Daten!U7/13/30,0))</f>
        <v/>
      </c>
      <c r="AO7" s="27">
        <f>IF(AN7="","",ROUND(AN7*Daten!C7/Daten!D7,0))</f>
        <v/>
      </c>
      <c r="AP7" s="28">
        <f>IF(AO7="","",IF(AND(Daten!A7&lt;&gt;"",Daten!A7&lt;=DATE(2026,9,30),DATE(2026,9,30)&lt;Daten!A7+180),0,INDEX('TH-Zulagen'!D$2:D$22,AO7+1)))</f>
        <v/>
      </c>
      <c r="AQ7" s="28">
        <f>IF(NOT(Daten!X7&lt;&gt;0),"",Parameter!D7+IF(AP7="",0,AP7))</f>
        <v/>
      </c>
      <c r="AR7" s="130">
        <f>IF(NOT(Daten!X7&lt;&gt;0),"",Daten!V7-Daten!W7)</f>
        <v/>
      </c>
      <c r="AS7" s="130">
        <f>IF(AR7="","",AR7*Parameter!D4)</f>
        <v/>
      </c>
      <c r="AT7" s="130">
        <f>IF(AS7="","",AS7*(1-Parameter!D5))</f>
        <v/>
      </c>
      <c r="AU7" s="28">
        <f>IF(AT7="","",AT7*Parameter!D6)</f>
        <v/>
      </c>
      <c r="AV7" s="41">
        <f>IF(NOT(Daten!X7&lt;&gt;0),"",ROUND(Daten!X7/AU7*110/1.17,1))</f>
        <v/>
      </c>
      <c r="AW7" s="27">
        <f>IF(NOT(Daten!X7&lt;&gt;0),"",IF(AND(AV7&gt;=Stufentabelle!B7,AM7&gt;=Stufentabelle!D7),6,IF(AND(AV7&gt;=Stufentabelle!B6,AM7&gt;=Stufentabelle!D6),5,IF(AND(AV7&gt;=Stufentabelle!B5,AM7&gt;=Stufentabelle!D5),4,IF(AND(AV7&gt;=Stufentabelle!B4,AM7&gt;=Stufentabelle!D4),3,IF(AND(AV7&gt;=Stufentabelle!B3,AM7&gt;=Stufentabelle!D3),2,IF(AND(AV7&gt;=Stufentabelle!B2,AM7&gt;=Stufentabelle!D2),1,0)))))))</f>
        <v/>
      </c>
      <c r="AX7" s="27">
        <f>IF(AG7="",IF(O7="",Daten!E7,O7),AG7)</f>
        <v/>
      </c>
      <c r="AY7" s="42">
        <f>IF(NOT(Daten!X7&lt;&gt;0),"",IF(AND(Daten!A7&lt;&gt;"",Daten!A7&lt;=DATE(2026,9,30),DATE(2026,9,30)&lt;Daten!A7+180),Daten!E7,IF(OR(AW7="",AW7=0),MAX(AX7-1,1),IF(AW7&gt;AX7+1,AX7+1,IF(AW7&lt;AX7-1,MAX(AX7-1,1),AW7)))))</f>
        <v/>
      </c>
      <c r="AZ7" s="43">
        <f>IF(AY7="","",CHOOSE(AY7,"Basis","Gut","Stark","Sehr stark","Exzellent","Herrausragend"))</f>
        <v/>
      </c>
      <c r="BA7" s="44">
        <f>IF(AY7="","",INDEX(Stufentabelle!E2:E7,MATCH(AY7,Stufentabelle!A2:A7,0)))</f>
        <v/>
      </c>
      <c r="BB7" s="28">
        <f>IF(OR(AY7="",AQ7=""),"",ROUND(AQ7*(1+BA7)*(Daten!C7/40),0))</f>
        <v/>
      </c>
      <c r="BC7" s="28">
        <f>IF(BB7="","",MAX(BB7,ROUND(Daten!F7*(Daten!C7/40),0)))</f>
        <v/>
      </c>
      <c r="BD7" s="45">
        <f>IF(BC7="","",ROUND(BC7/12,0))</f>
        <v/>
      </c>
      <c r="BE7" s="39">
        <f>IF(NOT(Daten!AE7&lt;&gt;0),"",ROUND(Daten!AF7*0.2+Daten!AG7*0.2+Daten!AH7*0.6,1))</f>
        <v/>
      </c>
      <c r="BF7" s="27">
        <f>IF(NOT(Daten!AE7&lt;&gt;0),"",ROUND(Daten!AB7/13/30,0))</f>
        <v/>
      </c>
      <c r="BG7" s="27">
        <f>IF(BF7="","",ROUND(BF7*Daten!C7/Daten!D7,0))</f>
        <v/>
      </c>
      <c r="BH7" s="28">
        <f>IF(BG7="","",IF(AND(Daten!A7&lt;&gt;"",Daten!A7&lt;=DATE(2026,12,31),DATE(2026,12,31)&lt;Daten!A7+180),0,INDEX('TH-Zulagen'!D$2:D$22,BG7+1)))</f>
        <v/>
      </c>
      <c r="BI7" s="28">
        <f>IF(NOT(Daten!AE7&lt;&gt;0),"",Parameter!D7+IF(BH7="",0,BH7))</f>
        <v/>
      </c>
      <c r="BJ7" s="130">
        <f>IF(NOT(Daten!AE7&lt;&gt;0),"",Daten!AC7-Daten!AD7)</f>
        <v/>
      </c>
      <c r="BK7" s="130">
        <f>IF(BJ7="","",BJ7*Parameter!D4)</f>
        <v/>
      </c>
      <c r="BL7" s="130">
        <f>IF(BK7="","",BK7*(1-Parameter!D5))</f>
        <v/>
      </c>
      <c r="BM7" s="28">
        <f>IF(BL7="","",BL7*Parameter!D6)</f>
        <v/>
      </c>
      <c r="BN7" s="41">
        <f>IF(NOT(Daten!AE7&lt;&gt;0),"",ROUND(Daten!AE7/BM7*110/1.17,1))</f>
        <v/>
      </c>
      <c r="BO7" s="27">
        <f>IF(NOT(Daten!AE7&lt;&gt;0),"",IF(AND(BN7&gt;=Stufentabelle!B7,BE7&gt;=Stufentabelle!D7),6,IF(AND(BN7&gt;=Stufentabelle!B6,BE7&gt;=Stufentabelle!D6),5,IF(AND(BN7&gt;=Stufentabelle!B5,BE7&gt;=Stufentabelle!D5),4,IF(AND(BN7&gt;=Stufentabelle!B4,BE7&gt;=Stufentabelle!D4),3,IF(AND(BN7&gt;=Stufentabelle!B3,BE7&gt;=Stufentabelle!D3),2,IF(AND(BN7&gt;=Stufentabelle!B2,BE7&gt;=Stufentabelle!D2),1,0)))))))</f>
        <v/>
      </c>
      <c r="BP7" s="27">
        <f>IF(AY7="",IF(AG7="",IF(O7="",Daten!E7,O7),AG7),AY7)</f>
        <v/>
      </c>
      <c r="BQ7" s="42">
        <f>IF(NOT(Daten!AE7&lt;&gt;0),"",IF(AND(Daten!A7&lt;&gt;"",Daten!A7&lt;=DATE(2026,12,31),DATE(2026,12,31)&lt;Daten!A7+180),Daten!E7,IF(OR(BO7="",BO7=0),MAX(BP7-1,1),IF(BO7&gt;BP7+1,BP7+1,IF(BO7&lt;BP7-1,MAX(BP7-1,1),BO7)))))</f>
        <v/>
      </c>
      <c r="BR7" s="43">
        <f>IF(BQ7="","",CHOOSE(BQ7,"Basis","Gut","Stark","Sehr stark","Exzellent","Herrausragend"))</f>
        <v/>
      </c>
      <c r="BS7" s="44">
        <f>IF(BQ7="","",INDEX(Stufentabelle!E2:E7,MATCH(BQ7,Stufentabelle!A2:A7,0)))</f>
        <v/>
      </c>
      <c r="BT7" s="28">
        <f>IF(OR(BQ7="",BI7=""),"",ROUND(BI7*(1+BS7)*(Daten!C7/40),0))</f>
        <v/>
      </c>
      <c r="BU7" s="28">
        <f>IF(BT7="","",MAX(BT7,ROUND(Daten!F7*(Daten!C7/40),0)))</f>
        <v/>
      </c>
      <c r="BV7" s="45">
        <f>IF(BU7="","",ROUND(BU7/12,0))</f>
        <v/>
      </c>
      <c r="BW7" s="39">
        <f>IF(NOT(Daten!AL7&lt;&gt;0),"",ROUND(Daten!AM7*0.2+Daten!AN7*0.2+Daten!AO7*0.6,1))</f>
        <v/>
      </c>
      <c r="BX7" s="27">
        <f>IF(NOT(Daten!AL7&lt;&gt;0),"",ROUND(Daten!AI7/13/30,0))</f>
        <v/>
      </c>
      <c r="BY7" s="27">
        <f>IF(BX7="","",ROUND(BX7*Daten!C7/Daten!D7,0))</f>
        <v/>
      </c>
      <c r="BZ7" s="28">
        <f>IF(BY7="","",IF(AND(Daten!A7&lt;&gt;"",Daten!A7&lt;=DATE(2027,3,31),DATE(2027,3,31)&lt;Daten!A7+180),0,INDEX('TH-Zulagen'!D$2:D$22,BY7+1)))</f>
        <v/>
      </c>
      <c r="CA7" s="28">
        <f>IF(NOT(Daten!AL7&lt;&gt;0),"",Parameter!D7+IF(BZ7="",0,BZ7))</f>
        <v/>
      </c>
      <c r="CB7" s="130">
        <f>IF(NOT(Daten!AL7&lt;&gt;0),"",Daten!AJ7-Daten!AK7)</f>
        <v/>
      </c>
      <c r="CC7" s="130">
        <f>IF(CB7="","",CB7*Parameter!D4)</f>
        <v/>
      </c>
      <c r="CD7" s="130">
        <f>IF(CC7="","",CC7*(1-Parameter!D5))</f>
        <v/>
      </c>
      <c r="CE7" s="28">
        <f>IF(CD7="","",CD7*Parameter!D6)</f>
        <v/>
      </c>
      <c r="CF7" s="41">
        <f>IF(NOT(Daten!AL7&lt;&gt;0),"",ROUND(Daten!AL7/CE7*110/1.17,1))</f>
        <v/>
      </c>
      <c r="CG7" s="27">
        <f>IF(NOT(Daten!AL7&lt;&gt;0),"",IF(AND(CF7&gt;=Stufentabelle!B7,BW7&gt;=Stufentabelle!D7),6,IF(AND(CF7&gt;=Stufentabelle!B6,BW7&gt;=Stufentabelle!D6),5,IF(AND(CF7&gt;=Stufentabelle!B5,BW7&gt;=Stufentabelle!D5),4,IF(AND(CF7&gt;=Stufentabelle!B4,BW7&gt;=Stufentabelle!D4),3,IF(AND(CF7&gt;=Stufentabelle!B3,BW7&gt;=Stufentabelle!D3),2,IF(AND(CF7&gt;=Stufentabelle!B2,BW7&gt;=Stufentabelle!D2),1,0)))))))</f>
        <v/>
      </c>
      <c r="CH7" s="27">
        <f>IF(BQ7="",IF(AY7="",IF(AG7="",IF(O7="",Daten!E7,O7),AG7),AY7),BQ7)</f>
        <v/>
      </c>
      <c r="CI7" s="42">
        <f>IF(NOT(Daten!AL7&lt;&gt;0),"",IF(AND(Daten!A7&lt;&gt;"",Daten!A7&lt;=DATE(2027,3,31),DATE(2027,3,31)&lt;Daten!A7+180),Daten!E7,IF(OR(CG7="",CG7=0),MAX(CH7-1,1),IF(CG7&gt;CH7+1,CH7+1,IF(CG7&lt;CH7-1,MAX(CH7-1,1),CG7)))))</f>
        <v/>
      </c>
      <c r="CJ7" s="43">
        <f>IF(CI7="","",CHOOSE(CI7,"Basis","Gut","Stark","Sehr stark","Exzellent","Herrausragend"))</f>
        <v/>
      </c>
      <c r="CK7" s="44">
        <f>IF(CI7="","",INDEX(Stufentabelle!E2:E7,MATCH(CI7,Stufentabelle!A2:A7,0)))</f>
        <v/>
      </c>
      <c r="CL7" s="28">
        <f>IF(OR(CI7="",CA7=""),"",ROUND(CA7*(1+CK7)*(Daten!C7/40),0))</f>
        <v/>
      </c>
      <c r="CM7" s="28">
        <f>IF(CL7="","",MAX(CL7,ROUND(Daten!F7*(Daten!C7/40),0)))</f>
        <v/>
      </c>
      <c r="CN7" s="45">
        <f>IF(CM7="","",ROUND(CM7/12,0))</f>
        <v/>
      </c>
      <c r="CO7" s="39">
        <f>IF(NOT(Daten!AS7&lt;&gt;0),"",ROUND(Daten!AT7*0.2+Daten!AU7*0.2+Daten!AV7*0.6,1))</f>
        <v/>
      </c>
      <c r="CP7" s="27">
        <f>IF(NOT(Daten!AS7&lt;&gt;0),"",ROUND(Daten!AP7/13/30,0))</f>
        <v/>
      </c>
      <c r="CQ7" s="27">
        <f>IF(CP7="","",ROUND(CP7*Daten!C7/Daten!D7,0))</f>
        <v/>
      </c>
      <c r="CR7" s="28">
        <f>IF(CQ7="","",IF(AND(Daten!A7&lt;&gt;"",Daten!A7&lt;=DATE(2027,6,30),DATE(2027,6,30)&lt;Daten!A7+180),0,INDEX('TH-Zulagen'!D$2:D$22,CQ7+1)))</f>
        <v/>
      </c>
      <c r="CS7" s="28">
        <f>IF(NOT(Daten!AS7&lt;&gt;0),"",Parameter!D7+IF(CR7="",0,CR7))</f>
        <v/>
      </c>
      <c r="CT7" s="130">
        <f>IF(NOT(Daten!AS7&lt;&gt;0),"",Daten!AQ7-Daten!AR7)</f>
        <v/>
      </c>
      <c r="CU7" s="130">
        <f>IF(CT7="","",CT7*Parameter!D4)</f>
        <v/>
      </c>
      <c r="CV7" s="130">
        <f>IF(CU7="","",CU7*(1-Parameter!D5))</f>
        <v/>
      </c>
      <c r="CW7" s="28">
        <f>IF(CV7="","",CV7*Parameter!D6)</f>
        <v/>
      </c>
      <c r="CX7" s="41">
        <f>IF(NOT(Daten!AS7&lt;&gt;0),"",ROUND(Daten!AS7/CW7*110/1.17,1))</f>
        <v/>
      </c>
      <c r="CY7" s="27">
        <f>IF(NOT(Daten!AS7&lt;&gt;0),"",IF(AND(CX7&gt;=Stufentabelle!B7,CO7&gt;=Stufentabelle!D7),6,IF(AND(CX7&gt;=Stufentabelle!B6,CO7&gt;=Stufentabelle!D6),5,IF(AND(CX7&gt;=Stufentabelle!B5,CO7&gt;=Stufentabelle!D5),4,IF(AND(CX7&gt;=Stufentabelle!B4,CO7&gt;=Stufentabelle!D4),3,IF(AND(CX7&gt;=Stufentabelle!B3,CO7&gt;=Stufentabelle!D3),2,IF(AND(CX7&gt;=Stufentabelle!B2,CO7&gt;=Stufentabelle!D2),1,0)))))))</f>
        <v/>
      </c>
      <c r="CZ7" s="27">
        <f>IF(CI7="",IF(BQ7="",IF(AY7="",IF(AG7="",IF(O7="",Daten!E7,O7),AG7),AY7),BQ7),CI7)</f>
        <v/>
      </c>
      <c r="DA7" s="42">
        <f>IF(NOT(Daten!AS7&lt;&gt;0),"",IF(AND(Daten!A7&lt;&gt;"",Daten!A7&lt;=DATE(2027,6,30),DATE(2027,6,30)&lt;Daten!A7+180),Daten!E7,IF(OR(CY7="",CY7=0),MAX(CZ7-1,1),IF(CY7&gt;CZ7+1,CZ7+1,IF(CY7&lt;CZ7-1,MAX(CZ7-1,1),CY7)))))</f>
        <v/>
      </c>
      <c r="DB7" s="43">
        <f>IF(DA7="","",CHOOSE(DA7,"Basis","Gut","Stark","Sehr stark","Exzellent","Herrausragend"))</f>
        <v/>
      </c>
      <c r="DC7" s="44">
        <f>IF(DA7="","",INDEX(Stufentabelle!E2:E7,MATCH(DA7,Stufentabelle!A2:A7,0)))</f>
        <v/>
      </c>
      <c r="DD7" s="28">
        <f>IF(OR(DA7="",CS7=""),"",ROUND(CS7*(1+DC7)*(Daten!C7/40),0))</f>
        <v/>
      </c>
      <c r="DE7" s="28">
        <f>IF(DD7="","",MAX(DD7,ROUND(Daten!F7*(Daten!C7/40),0)))</f>
        <v/>
      </c>
      <c r="DF7" s="45">
        <f>IF(DE7="","",ROUND(DE7/12,0))</f>
        <v/>
      </c>
      <c r="DG7" s="39">
        <f>IF(NOT(Daten!AZ7&lt;&gt;0),"",ROUND(Daten!BA7*0.2+Daten!BB7*0.2+Daten!BC7*0.6,1))</f>
        <v/>
      </c>
      <c r="DH7" s="27">
        <f>IF(NOT(Daten!AZ7&lt;&gt;0),"",ROUND(Daten!AW7/13/30,0))</f>
        <v/>
      </c>
      <c r="DI7" s="27">
        <f>IF(DH7="","",ROUND(DH7*Daten!C7/Daten!D7,0))</f>
        <v/>
      </c>
      <c r="DJ7" s="28">
        <f>IF(DI7="","",IF(AND(Daten!A7&lt;&gt;"",Daten!A7&lt;=DATE(2027,9,30),DATE(2027,9,30)&lt;Daten!A7+180),0,INDEX('TH-Zulagen'!D$2:D$22,DI7+1)))</f>
        <v/>
      </c>
      <c r="DK7" s="28">
        <f>IF(NOT(Daten!AZ7&lt;&gt;0),"",Parameter!D7+IF(DJ7="",0,DJ7))</f>
        <v/>
      </c>
      <c r="DL7" s="130">
        <f>IF(NOT(Daten!AZ7&lt;&gt;0),"",Daten!AX7-Daten!AY7)</f>
        <v/>
      </c>
      <c r="DM7" s="130">
        <f>IF(DL7="","",DL7*Parameter!D4)</f>
        <v/>
      </c>
      <c r="DN7" s="130">
        <f>IF(DM7="","",DM7*(1-Parameter!D5))</f>
        <v/>
      </c>
      <c r="DO7" s="28">
        <f>IF(DN7="","",DN7*Parameter!D6)</f>
        <v/>
      </c>
      <c r="DP7" s="41">
        <f>IF(NOT(Daten!AZ7&lt;&gt;0),"",ROUND(Daten!AZ7/DO7*110/1.17,1))</f>
        <v/>
      </c>
      <c r="DQ7" s="27">
        <f>IF(NOT(Daten!AZ7&lt;&gt;0),"",IF(AND(DP7&gt;=Stufentabelle!B7,DG7&gt;=Stufentabelle!D7),6,IF(AND(DP7&gt;=Stufentabelle!B6,DG7&gt;=Stufentabelle!D6),5,IF(AND(DP7&gt;=Stufentabelle!B5,DG7&gt;=Stufentabelle!D5),4,IF(AND(DP7&gt;=Stufentabelle!B4,DG7&gt;=Stufentabelle!D4),3,IF(AND(DP7&gt;=Stufentabelle!B3,DG7&gt;=Stufentabelle!D3),2,IF(AND(DP7&gt;=Stufentabelle!B2,DG7&gt;=Stufentabelle!D2),1,0)))))))</f>
        <v/>
      </c>
      <c r="DR7" s="27">
        <f>IF(DA7="",IF(CI7="",IF(BQ7="",IF(AY7="",IF(AG7="",IF(O7="",Daten!E7,O7),AG7),AY7),BQ7),CI7),DA7)</f>
        <v/>
      </c>
      <c r="DS7" s="42">
        <f>IF(NOT(Daten!AZ7&lt;&gt;0),"",IF(AND(Daten!A7&lt;&gt;"",Daten!A7&lt;=DATE(2027,9,30),DATE(2027,9,30)&lt;Daten!A7+180),Daten!E7,IF(OR(DQ7="",DQ7=0),MAX(DR7-1,1),IF(DQ7&gt;DR7+1,DR7+1,IF(DQ7&lt;DR7-1,MAX(DR7-1,1),DQ7)))))</f>
        <v/>
      </c>
      <c r="DT7" s="43">
        <f>IF(DS7="","",CHOOSE(DS7,"Basis","Gut","Stark","Sehr stark","Exzellent","Herrausragend"))</f>
        <v/>
      </c>
      <c r="DU7" s="44">
        <f>IF(DS7="","",INDEX(Stufentabelle!E2:E7,MATCH(DS7,Stufentabelle!A2:A7,0)))</f>
        <v/>
      </c>
      <c r="DV7" s="28">
        <f>IF(OR(DS7="",DK7=""),"",ROUND(DK7*(1+DU7)*(Daten!C7/40),0))</f>
        <v/>
      </c>
      <c r="DW7" s="28">
        <f>IF(DV7="","",MAX(DV7,ROUND(Daten!F7*(Daten!C7/40),0)))</f>
        <v/>
      </c>
      <c r="DX7" s="45">
        <f>IF(DW7="","",ROUND(DW7/12,0))</f>
        <v/>
      </c>
    </row>
    <row r="8" ht="22" customHeight="1" s="97">
      <c r="B8" s="38">
        <f>Daten!B8</f>
        <v/>
      </c>
      <c r="C8" s="39">
        <f>IF(NOT(Daten!J8&lt;&gt;0),"",ROUND(Daten!K8*0.2+Daten!L8*0.2+Daten!M8*0.6,1))</f>
        <v/>
      </c>
      <c r="D8" s="27">
        <f>IF(NOT(Daten!J8&lt;&gt;0),"",ROUND(Daten!G8/13/30,0))</f>
        <v/>
      </c>
      <c r="E8" s="27">
        <f>IF(D8="","",ROUND(D8*Daten!C8/Daten!D8,0))</f>
        <v/>
      </c>
      <c r="F8" s="28">
        <f>IF(E8="","",IF(AND(Daten!A8&lt;&gt;"",Daten!A8&lt;=DATE(2026,3,31),DATE(2026,3,31)&lt;Daten!A8+180),0,INDEX('TH-Zulagen'!D$2:D$22,E8+1)))</f>
        <v/>
      </c>
      <c r="G8" s="28">
        <f>IF(NOT(Daten!J8&lt;&gt;0),"",Parameter!D7+IF(F8="",0,F8))</f>
        <v/>
      </c>
      <c r="H8" s="130">
        <f>IF(NOT(Daten!J8&lt;&gt;0),"",Daten!H8-Daten!I8)</f>
        <v/>
      </c>
      <c r="I8" s="130">
        <f>IF(H8="","",H8*Parameter!D4)</f>
        <v/>
      </c>
      <c r="J8" s="130">
        <f>IF(I8="","",I8*(1-Parameter!D5))</f>
        <v/>
      </c>
      <c r="K8" s="28">
        <f>IF(J8="","",J8*Parameter!D6)</f>
        <v/>
      </c>
      <c r="L8" s="41">
        <f>IF(NOT(Daten!J8&lt;&gt;0),"",ROUND(Daten!J8/K8*110/1.17,1))</f>
        <v/>
      </c>
      <c r="M8" s="27">
        <f>IF(NOT(Daten!J8&lt;&gt;0),"",IF(AND(L8&gt;=Stufentabelle!B7,C8&gt;=Stufentabelle!D7),6,IF(AND(L8&gt;=Stufentabelle!B6,C8&gt;=Stufentabelle!D6),5,IF(AND(L8&gt;=Stufentabelle!B5,C8&gt;=Stufentabelle!D5),4,IF(AND(L8&gt;=Stufentabelle!B4,C8&gt;=Stufentabelle!D4),3,IF(AND(L8&gt;=Stufentabelle!B3,C8&gt;=Stufentabelle!D3),2,IF(AND(L8&gt;=Stufentabelle!B2,C8&gt;=Stufentabelle!D2),1,0)))))))</f>
        <v/>
      </c>
      <c r="N8" s="27">
        <f>Daten!E8</f>
        <v/>
      </c>
      <c r="O8" s="42">
        <f>IF(NOT(Daten!J8&lt;&gt;0),"",IF(AND(Daten!A8&lt;&gt;"",Daten!A8&lt;=DATE(2026,3,31),DATE(2026,3,31)&lt;Daten!A8+180),Daten!E8,IF(OR(M8="",M8=0),MAX(N8-1,1),IF(M8&gt;N8+1,N8+1,IF(M8&lt;N8-1,MAX(N8-1,1),M8)))))</f>
        <v/>
      </c>
      <c r="P8" s="43">
        <f>IF(O8="","",CHOOSE(O8,"Basis","Gut","Stark","Sehr stark","Exzellent","Herrausragend"))</f>
        <v/>
      </c>
      <c r="Q8" s="44">
        <f>IF(O8="","",INDEX(Stufentabelle!E2:E7,MATCH(O8,Stufentabelle!A2:A7,0)))</f>
        <v/>
      </c>
      <c r="R8" s="28">
        <f>IF(OR(O8="",G8=""),"",ROUND(G8*(1+Q8)*(Daten!C8/40),0))</f>
        <v/>
      </c>
      <c r="S8" s="28">
        <f>IF(R8="","",MAX(R8,ROUND(Daten!F8*(Daten!C8/40),0)))</f>
        <v/>
      </c>
      <c r="T8" s="45">
        <f>IF(S8="","",ROUND(S8/12,0))</f>
        <v/>
      </c>
      <c r="U8" s="39">
        <f>IF(NOT(Daten!Q8&lt;&gt;0),"",ROUND(Daten!R8*0.2+Daten!S8*0.2+Daten!T8*0.6,1))</f>
        <v/>
      </c>
      <c r="V8" s="27">
        <f>IF(NOT(Daten!Q8&lt;&gt;0),"",ROUND(Daten!N8/13/30,0))</f>
        <v/>
      </c>
      <c r="W8" s="27">
        <f>IF(V8="","",ROUND(V8*Daten!C8/Daten!D8,0))</f>
        <v/>
      </c>
      <c r="X8" s="28">
        <f>IF(W8="","",IF(AND(Daten!A8&lt;&gt;"",Daten!A8&lt;=DATE(2026,6,30),DATE(2026,6,30)&lt;Daten!A8+180),0,INDEX('TH-Zulagen'!D$2:D$22,W8+1)))</f>
        <v/>
      </c>
      <c r="Y8" s="28">
        <f>IF(NOT(Daten!Q8&lt;&gt;0),"",Parameter!D7+IF(X8="",0,X8))</f>
        <v/>
      </c>
      <c r="Z8" s="130">
        <f>IF(NOT(Daten!Q8&lt;&gt;0),"",Daten!O8-Daten!P8)</f>
        <v/>
      </c>
      <c r="AA8" s="130">
        <f>IF(Z8="","",Z8*Parameter!D4)</f>
        <v/>
      </c>
      <c r="AB8" s="130">
        <f>IF(AA8="","",AA8*(1-Parameter!D5))</f>
        <v/>
      </c>
      <c r="AC8" s="28">
        <f>IF(AB8="","",AB8*Parameter!D6)</f>
        <v/>
      </c>
      <c r="AD8" s="41">
        <f>IF(NOT(Daten!Q8&lt;&gt;0),"",ROUND(Daten!Q8/AC8*110/1.17,1))</f>
        <v/>
      </c>
      <c r="AE8" s="27">
        <f>IF(NOT(Daten!Q8&lt;&gt;0),"",IF(AND(AD8&gt;=Stufentabelle!B7,U8&gt;=Stufentabelle!D7),6,IF(AND(AD8&gt;=Stufentabelle!B6,U8&gt;=Stufentabelle!D6),5,IF(AND(AD8&gt;=Stufentabelle!B5,U8&gt;=Stufentabelle!D5),4,IF(AND(AD8&gt;=Stufentabelle!B4,U8&gt;=Stufentabelle!D4),3,IF(AND(AD8&gt;=Stufentabelle!B3,U8&gt;=Stufentabelle!D3),2,IF(AND(AD8&gt;=Stufentabelle!B2,U8&gt;=Stufentabelle!D2),1,0)))))))</f>
        <v/>
      </c>
      <c r="AF8" s="27">
        <f>IF(O8="",Daten!E8,O8)</f>
        <v/>
      </c>
      <c r="AG8" s="42">
        <f>IF(NOT(Daten!Q8&lt;&gt;0),"",IF(AND(Daten!A8&lt;&gt;"",Daten!A8&lt;=DATE(2026,6,30),DATE(2026,6,30)&lt;Daten!A8+180),Daten!E8,IF(OR(AE8="",AE8=0),MAX(AF8-1,1),IF(AE8&gt;AF8+1,AF8+1,IF(AE8&lt;AF8-1,MAX(AF8-1,1),AE8)))))</f>
        <v/>
      </c>
      <c r="AH8" s="43">
        <f>IF(AG8="","",CHOOSE(AG8,"Basis","Gut","Stark","Sehr stark","Exzellent","Herrausragend"))</f>
        <v/>
      </c>
      <c r="AI8" s="44">
        <f>IF(AG8="","",INDEX(Stufentabelle!E2:E7,MATCH(AG8,Stufentabelle!A2:A7,0)))</f>
        <v/>
      </c>
      <c r="AJ8" s="28">
        <f>IF(OR(AG8="",Y8=""),"",ROUND(Y8*(1+AI8)*(Daten!C8/40),0))</f>
        <v/>
      </c>
      <c r="AK8" s="28">
        <f>IF(AJ8="","",MAX(AJ8,ROUND(Daten!F8*(Daten!C8/40),0)))</f>
        <v/>
      </c>
      <c r="AL8" s="45">
        <f>IF(AK8="","",ROUND(AK8/12,0))</f>
        <v/>
      </c>
      <c r="AM8" s="39">
        <f>IF(NOT(Daten!X8&lt;&gt;0),"",ROUND(Daten!Y8*0.2+Daten!Z8*0.2+Daten!AA8*0.6,1))</f>
        <v/>
      </c>
      <c r="AN8" s="27">
        <f>IF(NOT(Daten!X8&lt;&gt;0),"",ROUND(Daten!U8/13/30,0))</f>
        <v/>
      </c>
      <c r="AO8" s="27">
        <f>IF(AN8="","",ROUND(AN8*Daten!C8/Daten!D8,0))</f>
        <v/>
      </c>
      <c r="AP8" s="28">
        <f>IF(AO8="","",IF(AND(Daten!A8&lt;&gt;"",Daten!A8&lt;=DATE(2026,9,30),DATE(2026,9,30)&lt;Daten!A8+180),0,INDEX('TH-Zulagen'!D$2:D$22,AO8+1)))</f>
        <v/>
      </c>
      <c r="AQ8" s="28">
        <f>IF(NOT(Daten!X8&lt;&gt;0),"",Parameter!D7+IF(AP8="",0,AP8))</f>
        <v/>
      </c>
      <c r="AR8" s="130">
        <f>IF(NOT(Daten!X8&lt;&gt;0),"",Daten!V8-Daten!W8)</f>
        <v/>
      </c>
      <c r="AS8" s="130">
        <f>IF(AR8="","",AR8*Parameter!D4)</f>
        <v/>
      </c>
      <c r="AT8" s="130">
        <f>IF(AS8="","",AS8*(1-Parameter!D5))</f>
        <v/>
      </c>
      <c r="AU8" s="28">
        <f>IF(AT8="","",AT8*Parameter!D6)</f>
        <v/>
      </c>
      <c r="AV8" s="41">
        <f>IF(NOT(Daten!X8&lt;&gt;0),"",ROUND(Daten!X8/AU8*110/1.17,1))</f>
        <v/>
      </c>
      <c r="AW8" s="27">
        <f>IF(NOT(Daten!X8&lt;&gt;0),"",IF(AND(AV8&gt;=Stufentabelle!B7,AM8&gt;=Stufentabelle!D7),6,IF(AND(AV8&gt;=Stufentabelle!B6,AM8&gt;=Stufentabelle!D6),5,IF(AND(AV8&gt;=Stufentabelle!B5,AM8&gt;=Stufentabelle!D5),4,IF(AND(AV8&gt;=Stufentabelle!B4,AM8&gt;=Stufentabelle!D4),3,IF(AND(AV8&gt;=Stufentabelle!B3,AM8&gt;=Stufentabelle!D3),2,IF(AND(AV8&gt;=Stufentabelle!B2,AM8&gt;=Stufentabelle!D2),1,0)))))))</f>
        <v/>
      </c>
      <c r="AX8" s="27">
        <f>IF(AG8="",IF(O8="",Daten!E8,O8),AG8)</f>
        <v/>
      </c>
      <c r="AY8" s="42">
        <f>IF(NOT(Daten!X8&lt;&gt;0),"",IF(AND(Daten!A8&lt;&gt;"",Daten!A8&lt;=DATE(2026,9,30),DATE(2026,9,30)&lt;Daten!A8+180),Daten!E8,IF(OR(AW8="",AW8=0),MAX(AX8-1,1),IF(AW8&gt;AX8+1,AX8+1,IF(AW8&lt;AX8-1,MAX(AX8-1,1),AW8)))))</f>
        <v/>
      </c>
      <c r="AZ8" s="43">
        <f>IF(AY8="","",CHOOSE(AY8,"Basis","Gut","Stark","Sehr stark","Exzellent","Herrausragend"))</f>
        <v/>
      </c>
      <c r="BA8" s="44">
        <f>IF(AY8="","",INDEX(Stufentabelle!E2:E7,MATCH(AY8,Stufentabelle!A2:A7,0)))</f>
        <v/>
      </c>
      <c r="BB8" s="28">
        <f>IF(OR(AY8="",AQ8=""),"",ROUND(AQ8*(1+BA8)*(Daten!C8/40),0))</f>
        <v/>
      </c>
      <c r="BC8" s="28">
        <f>IF(BB8="","",MAX(BB8,ROUND(Daten!F8*(Daten!C8/40),0)))</f>
        <v/>
      </c>
      <c r="BD8" s="45">
        <f>IF(BC8="","",ROUND(BC8/12,0))</f>
        <v/>
      </c>
      <c r="BE8" s="39">
        <f>IF(NOT(Daten!AE8&lt;&gt;0),"",ROUND(Daten!AF8*0.2+Daten!AG8*0.2+Daten!AH8*0.6,1))</f>
        <v/>
      </c>
      <c r="BF8" s="27">
        <f>IF(NOT(Daten!AE8&lt;&gt;0),"",ROUND(Daten!AB8/13/30,0))</f>
        <v/>
      </c>
      <c r="BG8" s="27">
        <f>IF(BF8="","",ROUND(BF8*Daten!C8/Daten!D8,0))</f>
        <v/>
      </c>
      <c r="BH8" s="28">
        <f>IF(BG8="","",IF(AND(Daten!A8&lt;&gt;"",Daten!A8&lt;=DATE(2026,12,31),DATE(2026,12,31)&lt;Daten!A8+180),0,INDEX('TH-Zulagen'!D$2:D$22,BG8+1)))</f>
        <v/>
      </c>
      <c r="BI8" s="28">
        <f>IF(NOT(Daten!AE8&lt;&gt;0),"",Parameter!D7+IF(BH8="",0,BH8))</f>
        <v/>
      </c>
      <c r="BJ8" s="130">
        <f>IF(NOT(Daten!AE8&lt;&gt;0),"",Daten!AC8-Daten!AD8)</f>
        <v/>
      </c>
      <c r="BK8" s="130">
        <f>IF(BJ8="","",BJ8*Parameter!D4)</f>
        <v/>
      </c>
      <c r="BL8" s="130">
        <f>IF(BK8="","",BK8*(1-Parameter!D5))</f>
        <v/>
      </c>
      <c r="BM8" s="28">
        <f>IF(BL8="","",BL8*Parameter!D6)</f>
        <v/>
      </c>
      <c r="BN8" s="41">
        <f>IF(NOT(Daten!AE8&lt;&gt;0),"",ROUND(Daten!AE8/BM8*110/1.17,1))</f>
        <v/>
      </c>
      <c r="BO8" s="27">
        <f>IF(NOT(Daten!AE8&lt;&gt;0),"",IF(AND(BN8&gt;=Stufentabelle!B7,BE8&gt;=Stufentabelle!D7),6,IF(AND(BN8&gt;=Stufentabelle!B6,BE8&gt;=Stufentabelle!D6),5,IF(AND(BN8&gt;=Stufentabelle!B5,BE8&gt;=Stufentabelle!D5),4,IF(AND(BN8&gt;=Stufentabelle!B4,BE8&gt;=Stufentabelle!D4),3,IF(AND(BN8&gt;=Stufentabelle!B3,BE8&gt;=Stufentabelle!D3),2,IF(AND(BN8&gt;=Stufentabelle!B2,BE8&gt;=Stufentabelle!D2),1,0)))))))</f>
        <v/>
      </c>
      <c r="BP8" s="27">
        <f>IF(AY8="",IF(AG8="",IF(O8="",Daten!E8,O8),AG8),AY8)</f>
        <v/>
      </c>
      <c r="BQ8" s="42">
        <f>IF(NOT(Daten!AE8&lt;&gt;0),"",IF(AND(Daten!A8&lt;&gt;"",Daten!A8&lt;=DATE(2026,12,31),DATE(2026,12,31)&lt;Daten!A8+180),Daten!E8,IF(OR(BO8="",BO8=0),MAX(BP8-1,1),IF(BO8&gt;BP8+1,BP8+1,IF(BO8&lt;BP8-1,MAX(BP8-1,1),BO8)))))</f>
        <v/>
      </c>
      <c r="BR8" s="43">
        <f>IF(BQ8="","",CHOOSE(BQ8,"Basis","Gut","Stark","Sehr stark","Exzellent","Herrausragend"))</f>
        <v/>
      </c>
      <c r="BS8" s="44">
        <f>IF(BQ8="","",INDEX(Stufentabelle!E2:E7,MATCH(BQ8,Stufentabelle!A2:A7,0)))</f>
        <v/>
      </c>
      <c r="BT8" s="28">
        <f>IF(OR(BQ8="",BI8=""),"",ROUND(BI8*(1+BS8)*(Daten!C8/40),0))</f>
        <v/>
      </c>
      <c r="BU8" s="28">
        <f>IF(BT8="","",MAX(BT8,ROUND(Daten!F8*(Daten!C8/40),0)))</f>
        <v/>
      </c>
      <c r="BV8" s="45">
        <f>IF(BU8="","",ROUND(BU8/12,0))</f>
        <v/>
      </c>
      <c r="BW8" s="39">
        <f>IF(NOT(Daten!AL8&lt;&gt;0),"",ROUND(Daten!AM8*0.2+Daten!AN8*0.2+Daten!AO8*0.6,1))</f>
        <v/>
      </c>
      <c r="BX8" s="27">
        <f>IF(NOT(Daten!AL8&lt;&gt;0),"",ROUND(Daten!AI8/13/30,0))</f>
        <v/>
      </c>
      <c r="BY8" s="27">
        <f>IF(BX8="","",ROUND(BX8*Daten!C8/Daten!D8,0))</f>
        <v/>
      </c>
      <c r="BZ8" s="28">
        <f>IF(BY8="","",IF(AND(Daten!A8&lt;&gt;"",Daten!A8&lt;=DATE(2027,3,31),DATE(2027,3,31)&lt;Daten!A8+180),0,INDEX('TH-Zulagen'!D$2:D$22,BY8+1)))</f>
        <v/>
      </c>
      <c r="CA8" s="28">
        <f>IF(NOT(Daten!AL8&lt;&gt;0),"",Parameter!D7+IF(BZ8="",0,BZ8))</f>
        <v/>
      </c>
      <c r="CB8" s="130">
        <f>IF(NOT(Daten!AL8&lt;&gt;0),"",Daten!AJ8-Daten!AK8)</f>
        <v/>
      </c>
      <c r="CC8" s="130">
        <f>IF(CB8="","",CB8*Parameter!D4)</f>
        <v/>
      </c>
      <c r="CD8" s="130">
        <f>IF(CC8="","",CC8*(1-Parameter!D5))</f>
        <v/>
      </c>
      <c r="CE8" s="28">
        <f>IF(CD8="","",CD8*Parameter!D6)</f>
        <v/>
      </c>
      <c r="CF8" s="41">
        <f>IF(NOT(Daten!AL8&lt;&gt;0),"",ROUND(Daten!AL8/CE8*110/1.17,1))</f>
        <v/>
      </c>
      <c r="CG8" s="27">
        <f>IF(NOT(Daten!AL8&lt;&gt;0),"",IF(AND(CF8&gt;=Stufentabelle!B7,BW8&gt;=Stufentabelle!D7),6,IF(AND(CF8&gt;=Stufentabelle!B6,BW8&gt;=Stufentabelle!D6),5,IF(AND(CF8&gt;=Stufentabelle!B5,BW8&gt;=Stufentabelle!D5),4,IF(AND(CF8&gt;=Stufentabelle!B4,BW8&gt;=Stufentabelle!D4),3,IF(AND(CF8&gt;=Stufentabelle!B3,BW8&gt;=Stufentabelle!D3),2,IF(AND(CF8&gt;=Stufentabelle!B2,BW8&gt;=Stufentabelle!D2),1,0)))))))</f>
        <v/>
      </c>
      <c r="CH8" s="27">
        <f>IF(BQ8="",IF(AY8="",IF(AG8="",IF(O8="",Daten!E8,O8),AG8),AY8),BQ8)</f>
        <v/>
      </c>
      <c r="CI8" s="42">
        <f>IF(NOT(Daten!AL8&lt;&gt;0),"",IF(AND(Daten!A8&lt;&gt;"",Daten!A8&lt;=DATE(2027,3,31),DATE(2027,3,31)&lt;Daten!A8+180),Daten!E8,IF(OR(CG8="",CG8=0),MAX(CH8-1,1),IF(CG8&gt;CH8+1,CH8+1,IF(CG8&lt;CH8-1,MAX(CH8-1,1),CG8)))))</f>
        <v/>
      </c>
      <c r="CJ8" s="43">
        <f>IF(CI8="","",CHOOSE(CI8,"Basis","Gut","Stark","Sehr stark","Exzellent","Herrausragend"))</f>
        <v/>
      </c>
      <c r="CK8" s="44">
        <f>IF(CI8="","",INDEX(Stufentabelle!E2:E7,MATCH(CI8,Stufentabelle!A2:A7,0)))</f>
        <v/>
      </c>
      <c r="CL8" s="28">
        <f>IF(OR(CI8="",CA8=""),"",ROUND(CA8*(1+CK8)*(Daten!C8/40),0))</f>
        <v/>
      </c>
      <c r="CM8" s="28">
        <f>IF(CL8="","",MAX(CL8,ROUND(Daten!F8*(Daten!C8/40),0)))</f>
        <v/>
      </c>
      <c r="CN8" s="45">
        <f>IF(CM8="","",ROUND(CM8/12,0))</f>
        <v/>
      </c>
      <c r="CO8" s="39">
        <f>IF(NOT(Daten!AS8&lt;&gt;0),"",ROUND(Daten!AT8*0.2+Daten!AU8*0.2+Daten!AV8*0.6,1))</f>
        <v/>
      </c>
      <c r="CP8" s="27">
        <f>IF(NOT(Daten!AS8&lt;&gt;0),"",ROUND(Daten!AP8/13/30,0))</f>
        <v/>
      </c>
      <c r="CQ8" s="27">
        <f>IF(CP8="","",ROUND(CP8*Daten!C8/Daten!D8,0))</f>
        <v/>
      </c>
      <c r="CR8" s="28">
        <f>IF(CQ8="","",IF(AND(Daten!A8&lt;&gt;"",Daten!A8&lt;=DATE(2027,6,30),DATE(2027,6,30)&lt;Daten!A8+180),0,INDEX('TH-Zulagen'!D$2:D$22,CQ8+1)))</f>
        <v/>
      </c>
      <c r="CS8" s="28">
        <f>IF(NOT(Daten!AS8&lt;&gt;0),"",Parameter!D7+IF(CR8="",0,CR8))</f>
        <v/>
      </c>
      <c r="CT8" s="130">
        <f>IF(NOT(Daten!AS8&lt;&gt;0),"",Daten!AQ8-Daten!AR8)</f>
        <v/>
      </c>
      <c r="CU8" s="130">
        <f>IF(CT8="","",CT8*Parameter!D4)</f>
        <v/>
      </c>
      <c r="CV8" s="130">
        <f>IF(CU8="","",CU8*(1-Parameter!D5))</f>
        <v/>
      </c>
      <c r="CW8" s="28">
        <f>IF(CV8="","",CV8*Parameter!D6)</f>
        <v/>
      </c>
      <c r="CX8" s="41">
        <f>IF(NOT(Daten!AS8&lt;&gt;0),"",ROUND(Daten!AS8/CW8*110/1.17,1))</f>
        <v/>
      </c>
      <c r="CY8" s="27">
        <f>IF(NOT(Daten!AS8&lt;&gt;0),"",IF(AND(CX8&gt;=Stufentabelle!B7,CO8&gt;=Stufentabelle!D7),6,IF(AND(CX8&gt;=Stufentabelle!B6,CO8&gt;=Stufentabelle!D6),5,IF(AND(CX8&gt;=Stufentabelle!B5,CO8&gt;=Stufentabelle!D5),4,IF(AND(CX8&gt;=Stufentabelle!B4,CO8&gt;=Stufentabelle!D4),3,IF(AND(CX8&gt;=Stufentabelle!B3,CO8&gt;=Stufentabelle!D3),2,IF(AND(CX8&gt;=Stufentabelle!B2,CO8&gt;=Stufentabelle!D2),1,0)))))))</f>
        <v/>
      </c>
      <c r="CZ8" s="27">
        <f>IF(CI8="",IF(BQ8="",IF(AY8="",IF(AG8="",IF(O8="",Daten!E8,O8),AG8),AY8),BQ8),CI8)</f>
        <v/>
      </c>
      <c r="DA8" s="42">
        <f>IF(NOT(Daten!AS8&lt;&gt;0),"",IF(AND(Daten!A8&lt;&gt;"",Daten!A8&lt;=DATE(2027,6,30),DATE(2027,6,30)&lt;Daten!A8+180),Daten!E8,IF(OR(CY8="",CY8=0),MAX(CZ8-1,1),IF(CY8&gt;CZ8+1,CZ8+1,IF(CY8&lt;CZ8-1,MAX(CZ8-1,1),CY8)))))</f>
        <v/>
      </c>
      <c r="DB8" s="43">
        <f>IF(DA8="","",CHOOSE(DA8,"Basis","Gut","Stark","Sehr stark","Exzellent","Herrausragend"))</f>
        <v/>
      </c>
      <c r="DC8" s="44">
        <f>IF(DA8="","",INDEX(Stufentabelle!E2:E7,MATCH(DA8,Stufentabelle!A2:A7,0)))</f>
        <v/>
      </c>
      <c r="DD8" s="28">
        <f>IF(OR(DA8="",CS8=""),"",ROUND(CS8*(1+DC8)*(Daten!C8/40),0))</f>
        <v/>
      </c>
      <c r="DE8" s="28">
        <f>IF(DD8="","",MAX(DD8,ROUND(Daten!F8*(Daten!C8/40),0)))</f>
        <v/>
      </c>
      <c r="DF8" s="45">
        <f>IF(DE8="","",ROUND(DE8/12,0))</f>
        <v/>
      </c>
      <c r="DG8" s="39">
        <f>IF(NOT(Daten!AZ8&lt;&gt;0),"",ROUND(Daten!BA8*0.2+Daten!BB8*0.2+Daten!BC8*0.6,1))</f>
        <v/>
      </c>
      <c r="DH8" s="27">
        <f>IF(NOT(Daten!AZ8&lt;&gt;0),"",ROUND(Daten!AW8/13/30,0))</f>
        <v/>
      </c>
      <c r="DI8" s="27">
        <f>IF(DH8="","",ROUND(DH8*Daten!C8/Daten!D8,0))</f>
        <v/>
      </c>
      <c r="DJ8" s="28">
        <f>IF(DI8="","",IF(AND(Daten!A8&lt;&gt;"",Daten!A8&lt;=DATE(2027,9,30),DATE(2027,9,30)&lt;Daten!A8+180),0,INDEX('TH-Zulagen'!D$2:D$22,DI8+1)))</f>
        <v/>
      </c>
      <c r="DK8" s="28">
        <f>IF(NOT(Daten!AZ8&lt;&gt;0),"",Parameter!D7+IF(DJ8="",0,DJ8))</f>
        <v/>
      </c>
      <c r="DL8" s="130">
        <f>IF(NOT(Daten!AZ8&lt;&gt;0),"",Daten!AX8-Daten!AY8)</f>
        <v/>
      </c>
      <c r="DM8" s="130">
        <f>IF(DL8="","",DL8*Parameter!D4)</f>
        <v/>
      </c>
      <c r="DN8" s="130">
        <f>IF(DM8="","",DM8*(1-Parameter!D5))</f>
        <v/>
      </c>
      <c r="DO8" s="28">
        <f>IF(DN8="","",DN8*Parameter!D6)</f>
        <v/>
      </c>
      <c r="DP8" s="41">
        <f>IF(NOT(Daten!AZ8&lt;&gt;0),"",ROUND(Daten!AZ8/DO8*110/1.17,1))</f>
        <v/>
      </c>
      <c r="DQ8" s="27">
        <f>IF(NOT(Daten!AZ8&lt;&gt;0),"",IF(AND(DP8&gt;=Stufentabelle!B7,DG8&gt;=Stufentabelle!D7),6,IF(AND(DP8&gt;=Stufentabelle!B6,DG8&gt;=Stufentabelle!D6),5,IF(AND(DP8&gt;=Stufentabelle!B5,DG8&gt;=Stufentabelle!D5),4,IF(AND(DP8&gt;=Stufentabelle!B4,DG8&gt;=Stufentabelle!D4),3,IF(AND(DP8&gt;=Stufentabelle!B3,DG8&gt;=Stufentabelle!D3),2,IF(AND(DP8&gt;=Stufentabelle!B2,DG8&gt;=Stufentabelle!D2),1,0)))))))</f>
        <v/>
      </c>
      <c r="DR8" s="27">
        <f>IF(DA8="",IF(CI8="",IF(BQ8="",IF(AY8="",IF(AG8="",IF(O8="",Daten!E8,O8),AG8),AY8),BQ8),CI8),DA8)</f>
        <v/>
      </c>
      <c r="DS8" s="42">
        <f>IF(NOT(Daten!AZ8&lt;&gt;0),"",IF(AND(Daten!A8&lt;&gt;"",Daten!A8&lt;=DATE(2027,9,30),DATE(2027,9,30)&lt;Daten!A8+180),Daten!E8,IF(OR(DQ8="",DQ8=0),MAX(DR8-1,1),IF(DQ8&gt;DR8+1,DR8+1,IF(DQ8&lt;DR8-1,MAX(DR8-1,1),DQ8)))))</f>
        <v/>
      </c>
      <c r="DT8" s="43">
        <f>IF(DS8="","",CHOOSE(DS8,"Basis","Gut","Stark","Sehr stark","Exzellent","Herrausragend"))</f>
        <v/>
      </c>
      <c r="DU8" s="44">
        <f>IF(DS8="","",INDEX(Stufentabelle!E2:E7,MATCH(DS8,Stufentabelle!A2:A7,0)))</f>
        <v/>
      </c>
      <c r="DV8" s="28">
        <f>IF(OR(DS8="",DK8=""),"",ROUND(DK8*(1+DU8)*(Daten!C8/40),0))</f>
        <v/>
      </c>
      <c r="DW8" s="28">
        <f>IF(DV8="","",MAX(DV8,ROUND(Daten!F8*(Daten!C8/40),0)))</f>
        <v/>
      </c>
      <c r="DX8" s="45">
        <f>IF(DW8="","",ROUND(DW8/12,0))</f>
        <v/>
      </c>
    </row>
  </sheetData>
  <mergeCells count="9">
    <mergeCell ref="C3:T3"/>
    <mergeCell ref="BE3:BV3"/>
    <mergeCell ref="U3:AL3"/>
    <mergeCell ref="AM3:BD3"/>
    <mergeCell ref="B2:DX2"/>
    <mergeCell ref="BW3:CN3"/>
    <mergeCell ref="CO3:DF3"/>
    <mergeCell ref="A1:DX1"/>
    <mergeCell ref="DG3:DX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BDBDBD"/>
    <outlinePr summaryBelow="1" summaryRight="1"/>
    <pageSetUpPr/>
  </sheetPr>
  <dimension ref="B2:F9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2" customWidth="1" style="97" min="1" max="1"/>
    <col width="38" customWidth="1" style="97" min="2" max="2"/>
    <col width="2" customWidth="1" style="97" min="3" max="3"/>
    <col width="16" customWidth="1" style="97" min="4" max="4"/>
    <col width="2" customWidth="1" style="97" min="5" max="5"/>
    <col width="24" customWidth="1" style="97" min="6" max="6"/>
  </cols>
  <sheetData>
    <row r="2" ht="20" customHeight="1" s="97">
      <c r="B2" s="6" t="inlineStr">
        <is>
          <t>Parameter</t>
        </is>
      </c>
    </row>
    <row r="3">
      <c r="B3" s="7" t="inlineStr">
        <is>
          <t>Einstellungen für die Geschäftsführung</t>
        </is>
      </c>
    </row>
    <row r="4">
      <c r="B4" s="1" t="inlineStr">
        <is>
          <t>Vorbereitungszeit-Faktor:</t>
        </is>
      </c>
      <c r="D4" s="10" t="n">
        <v>0.825</v>
      </c>
      <c r="F4" s="2" t="inlineStr">
        <is>
          <t>82,5% der Stunden = Therapiezeit</t>
        </is>
      </c>
    </row>
    <row r="5">
      <c r="B5" s="1" t="inlineStr">
        <is>
          <t>Krankheitspuffer:</t>
        </is>
      </c>
      <c r="D5" s="11" t="n">
        <v>0.1</v>
      </c>
      <c r="F5" s="2" t="inlineStr">
        <is>
          <t>10% einkalkuliert</t>
        </is>
      </c>
    </row>
    <row r="6">
      <c r="B6" s="1" t="inlineStr">
        <is>
          <t>Kassensatz (Planbasis):</t>
        </is>
      </c>
      <c r="D6" s="12" t="n">
        <v>103</v>
      </c>
      <c r="F6" s="2" t="inlineStr">
        <is>
          <t>GKV-Durchschnitt</t>
        </is>
      </c>
    </row>
    <row r="7">
      <c r="B7" s="1" t="inlineStr">
        <is>
          <t>Sockelgehalt (40h):</t>
        </is>
      </c>
      <c r="D7" s="12" t="n">
        <v>40000</v>
      </c>
      <c r="F7" s="2" t="inlineStr">
        <is>
          <t>brutto/Jahr</t>
        </is>
      </c>
    </row>
    <row r="9">
      <c r="C9" s="48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BDBDBD"/>
    <outlinePr summaryBelow="1" summaryRight="1"/>
    <pageSetUpPr/>
  </sheetPr>
  <dimension ref="A1:F10"/>
  <sheetViews>
    <sheetView zoomScaleNormal="100" workbookViewId="0">
      <selection activeCell="B102" sqref="B102"/>
    </sheetView>
  </sheetViews>
  <sheetFormatPr baseColWidth="10" defaultColWidth="8.6640625" defaultRowHeight="15" customHeight="1"/>
  <cols>
    <col width="8" customWidth="1" style="97" min="1" max="1"/>
    <col width="16" customWidth="1" style="97" min="2" max="2"/>
    <col width="14" customWidth="1" style="97" min="4" max="4"/>
    <col width="12" customWidth="1" style="97" min="5" max="5"/>
  </cols>
  <sheetData>
    <row r="1">
      <c r="A1" s="3" t="inlineStr">
        <is>
          <t>Stufe</t>
        </is>
      </c>
      <c r="B1" s="3" t="n"/>
      <c r="C1" s="3" t="n"/>
      <c r="D1" s="3" t="inlineStr">
        <is>
          <t>Zufried.</t>
        </is>
      </c>
      <c r="E1" s="3" t="inlineStr">
        <is>
          <t>Zulage %</t>
        </is>
      </c>
      <c r="F1" s="59" t="inlineStr">
        <is>
          <t>€/60min Therapie</t>
        </is>
      </c>
    </row>
    <row r="2">
      <c r="A2" s="13" t="n">
        <v>1</v>
      </c>
      <c r="B2" s="9" t="n"/>
      <c r="D2" s="9" t="n">
        <v>5</v>
      </c>
      <c r="E2" s="8" t="n">
        <v>0</v>
      </c>
      <c r="F2" s="131" t="n">
        <v>61.17</v>
      </c>
    </row>
    <row r="3">
      <c r="A3" s="13" t="n">
        <v>2</v>
      </c>
      <c r="B3" s="9" t="n"/>
      <c r="D3" s="9" t="n">
        <v>6</v>
      </c>
      <c r="E3" s="8" t="n">
        <v>0.11</v>
      </c>
      <c r="F3" s="131" t="n">
        <v>66.54000000000001</v>
      </c>
    </row>
    <row r="4">
      <c r="A4" s="13" t="n">
        <v>3</v>
      </c>
      <c r="B4" s="9" t="n"/>
      <c r="D4" s="9" t="n">
        <v>7</v>
      </c>
      <c r="E4" s="8" t="n">
        <v>0.22</v>
      </c>
      <c r="F4" s="131" t="n">
        <v>72.64</v>
      </c>
    </row>
    <row r="5">
      <c r="A5" s="13" t="n">
        <v>4</v>
      </c>
      <c r="B5" s="9" t="n"/>
      <c r="D5" s="9" t="n">
        <v>8</v>
      </c>
      <c r="E5" s="8" t="n">
        <v>0.33</v>
      </c>
      <c r="F5" s="131" t="n">
        <v>77.28</v>
      </c>
    </row>
    <row r="6">
      <c r="A6" s="13" t="n">
        <v>5</v>
      </c>
      <c r="B6" s="9" t="n"/>
      <c r="D6" s="9" t="n">
        <v>8.5</v>
      </c>
      <c r="E6" s="8" t="n">
        <v>0.44</v>
      </c>
      <c r="F6" s="131" t="n">
        <v>84.11</v>
      </c>
    </row>
    <row r="7">
      <c r="A7" s="13" t="n">
        <v>6</v>
      </c>
      <c r="B7" s="9" t="n"/>
      <c r="D7" s="9" t="n">
        <v>8.5</v>
      </c>
      <c r="E7" s="8" t="n">
        <v>0.55</v>
      </c>
      <c r="F7" s="131" t="n">
        <v>89.48</v>
      </c>
    </row>
    <row r="10">
      <c r="A10" s="113" t="inlineStr">
        <is>
          <t>Die €/60min-Spalte zeigt Umsatz pro Therapie-Stunde (Bundle-unabhängig, = IST ÷ verfügbare Zeit). Hinweis: Spalte „Leistungsindex" entfiel mit v18 — Stufen-Zuordnung läuft jetzt ausschließlich über €/60min.</t>
        </is>
      </c>
    </row>
    <row r="11" ht="35" customHeight="1" s="97"/>
    <row r="97" ht="51" customHeight="1" s="97"/>
  </sheetData>
  <mergeCells count="1">
    <mergeCell ref="A10:F10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BDBDBD"/>
    <outlinePr summaryBelow="1" summaryRight="1"/>
    <pageSetUpPr/>
  </sheetPr>
  <dimension ref="A1:D22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6" customWidth="1" style="97" min="1" max="1"/>
    <col width="14" customWidth="1" style="97" min="2" max="3"/>
    <col width="16" customWidth="1" style="97" min="4" max="4"/>
  </cols>
  <sheetData>
    <row r="1">
      <c r="A1" s="3" t="inlineStr">
        <is>
          <t>TH</t>
        </is>
      </c>
      <c r="B1" s="3" t="inlineStr">
        <is>
          <t>Band</t>
        </is>
      </c>
      <c r="C1" s="3" t="inlineStr">
        <is>
          <t>€/TH</t>
        </is>
      </c>
      <c r="D1" s="3" t="inlineStr">
        <is>
          <t>Kumuliert</t>
        </is>
      </c>
    </row>
    <row r="2">
      <c r="A2" s="13" t="n">
        <v>0</v>
      </c>
      <c r="B2" s="4" t="inlineStr">
        <is>
          <t>—</t>
        </is>
      </c>
      <c r="C2" s="5" t="n">
        <v>0</v>
      </c>
      <c r="D2" s="5" t="n">
        <v>0</v>
      </c>
    </row>
    <row r="3">
      <c r="A3" s="13" t="n">
        <v>1</v>
      </c>
      <c r="B3" s="4" t="inlineStr">
        <is>
          <t>Basis</t>
        </is>
      </c>
      <c r="C3" s="5" t="n">
        <v>250</v>
      </c>
      <c r="D3" s="5">
        <f>D2+C3</f>
        <v/>
      </c>
    </row>
    <row r="4">
      <c r="A4" s="13" t="n">
        <v>2</v>
      </c>
      <c r="B4" s="4" t="inlineStr">
        <is>
          <t>Basis</t>
        </is>
      </c>
      <c r="C4" s="5" t="n">
        <v>250</v>
      </c>
      <c r="D4" s="5">
        <f>D3+C4</f>
        <v/>
      </c>
    </row>
    <row r="5">
      <c r="A5" s="13" t="n">
        <v>3</v>
      </c>
      <c r="B5" s="4" t="inlineStr">
        <is>
          <t>Basis</t>
        </is>
      </c>
      <c r="C5" s="5" t="n">
        <v>250</v>
      </c>
      <c r="D5" s="5">
        <f>D4+C5</f>
        <v/>
      </c>
    </row>
    <row r="6">
      <c r="A6" s="13" t="n">
        <v>4</v>
      </c>
      <c r="B6" s="4" t="inlineStr">
        <is>
          <t>Basis</t>
        </is>
      </c>
      <c r="C6" s="5" t="n">
        <v>250</v>
      </c>
      <c r="D6" s="5">
        <f>D5+C6</f>
        <v/>
      </c>
    </row>
    <row r="7">
      <c r="A7" s="13" t="n">
        <v>5</v>
      </c>
      <c r="B7" s="4" t="inlineStr">
        <is>
          <t>Mitte</t>
        </is>
      </c>
      <c r="C7" s="5" t="n">
        <v>400</v>
      </c>
      <c r="D7" s="5">
        <f>D6+C7</f>
        <v/>
      </c>
    </row>
    <row r="8">
      <c r="A8" s="13" t="n">
        <v>6</v>
      </c>
      <c r="B8" s="4" t="inlineStr">
        <is>
          <t>Mitte</t>
        </is>
      </c>
      <c r="C8" s="5" t="n">
        <v>400</v>
      </c>
      <c r="D8" s="5">
        <f>D7+C8</f>
        <v/>
      </c>
    </row>
    <row r="9">
      <c r="A9" s="13" t="n">
        <v>7</v>
      </c>
      <c r="B9" s="4" t="inlineStr">
        <is>
          <t>Mitte</t>
        </is>
      </c>
      <c r="C9" s="5" t="n">
        <v>400</v>
      </c>
      <c r="D9" s="5">
        <f>D8+C9</f>
        <v/>
      </c>
    </row>
    <row r="10">
      <c r="A10" s="13" t="n">
        <v>8</v>
      </c>
      <c r="B10" s="4" t="inlineStr">
        <is>
          <t>Mitte</t>
        </is>
      </c>
      <c r="C10" s="5" t="n">
        <v>400</v>
      </c>
      <c r="D10" s="5">
        <f>D9+C10</f>
        <v/>
      </c>
    </row>
    <row r="11">
      <c r="A11" s="13" t="n">
        <v>9</v>
      </c>
      <c r="B11" s="4" t="inlineStr">
        <is>
          <t>Mitte</t>
        </is>
      </c>
      <c r="C11" s="5" t="n">
        <v>400</v>
      </c>
      <c r="D11" s="5">
        <f>D10+C11</f>
        <v/>
      </c>
    </row>
    <row r="12">
      <c r="A12" s="13" t="n">
        <v>10</v>
      </c>
      <c r="B12" s="4" t="inlineStr">
        <is>
          <t>Wachstum</t>
        </is>
      </c>
      <c r="C12" s="5" t="n">
        <v>700</v>
      </c>
      <c r="D12" s="5">
        <f>D11+C12</f>
        <v/>
      </c>
    </row>
    <row r="13">
      <c r="A13" s="13" t="n">
        <v>11</v>
      </c>
      <c r="B13" s="4" t="inlineStr">
        <is>
          <t>Wachstum</t>
        </is>
      </c>
      <c r="C13" s="5" t="n">
        <v>700</v>
      </c>
      <c r="D13" s="5">
        <f>D12+C13</f>
        <v/>
      </c>
    </row>
    <row r="14">
      <c r="A14" s="13" t="n">
        <v>12</v>
      </c>
      <c r="B14" s="4" t="inlineStr">
        <is>
          <t>Wachstum</t>
        </is>
      </c>
      <c r="C14" s="5" t="n">
        <v>700</v>
      </c>
      <c r="D14" s="5">
        <f>D13+C14</f>
        <v/>
      </c>
    </row>
    <row r="15">
      <c r="A15" s="13" t="n">
        <v>13</v>
      </c>
      <c r="B15" s="4" t="inlineStr">
        <is>
          <t>Wachstum</t>
        </is>
      </c>
      <c r="C15" s="5" t="n">
        <v>700</v>
      </c>
      <c r="D15" s="5">
        <f>D14+C15</f>
        <v/>
      </c>
    </row>
    <row r="16">
      <c r="A16" s="13" t="n">
        <v>14</v>
      </c>
      <c r="B16" s="4" t="inlineStr">
        <is>
          <t>Wachstum</t>
        </is>
      </c>
      <c r="C16" s="5" t="n">
        <v>700</v>
      </c>
      <c r="D16" s="5">
        <f>D15+C16</f>
        <v/>
      </c>
    </row>
    <row r="17">
      <c r="A17" s="13" t="n">
        <v>15</v>
      </c>
      <c r="B17" s="4" t="inlineStr">
        <is>
          <t>Wachstum</t>
        </is>
      </c>
      <c r="C17" s="5" t="n">
        <v>700</v>
      </c>
      <c r="D17" s="5">
        <f>D16+C17</f>
        <v/>
      </c>
    </row>
    <row r="18">
      <c r="A18" s="13" t="n">
        <v>16</v>
      </c>
      <c r="B18" s="4" t="inlineStr">
        <is>
          <t>Wachstum</t>
        </is>
      </c>
      <c r="C18" s="5" t="n">
        <v>700</v>
      </c>
      <c r="D18" s="5">
        <f>D17+C18</f>
        <v/>
      </c>
    </row>
    <row r="19">
      <c r="A19" s="13" t="n">
        <v>17</v>
      </c>
      <c r="B19" s="4" t="inlineStr">
        <is>
          <t>Wachstum</t>
        </is>
      </c>
      <c r="C19" s="5" t="n">
        <v>700</v>
      </c>
      <c r="D19" s="5">
        <f>D18+C19</f>
        <v/>
      </c>
    </row>
    <row r="20">
      <c r="A20" s="13" t="n">
        <v>18</v>
      </c>
      <c r="B20" s="4" t="inlineStr">
        <is>
          <t>Wachstum</t>
        </is>
      </c>
      <c r="C20" s="5" t="n">
        <v>700</v>
      </c>
      <c r="D20" s="5">
        <f>D19+C20</f>
        <v/>
      </c>
    </row>
    <row r="21">
      <c r="A21" s="13" t="n">
        <v>19</v>
      </c>
      <c r="B21" s="4" t="inlineStr">
        <is>
          <t>Wachstum</t>
        </is>
      </c>
      <c r="C21" s="5" t="n">
        <v>700</v>
      </c>
      <c r="D21" s="5">
        <f>D20+C21</f>
        <v/>
      </c>
    </row>
    <row r="22">
      <c r="A22" s="13" t="n">
        <v>20</v>
      </c>
      <c r="B22" s="4" t="inlineStr">
        <is>
          <t>Wachstum</t>
        </is>
      </c>
      <c r="C22" s="5" t="n">
        <v>700</v>
      </c>
      <c r="D22" s="5">
        <f>D21+C22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tabColor rgb="FFBDBDBD"/>
    <outlinePr summaryBelow="1" summaryRight="1"/>
    <pageSetUpPr/>
  </sheetPr>
  <dimension ref="B1:B1"/>
  <sheetViews>
    <sheetView workbookViewId="0">
      <selection activeCell="A1" sqref="A1"/>
    </sheetView>
  </sheetViews>
  <sheetFormatPr baseColWidth="10" defaultColWidth="8.83203125" defaultRowHeight="15"/>
  <sheetData>
    <row r="1">
      <c r="B1" s="87" t="inlineStr">
        <is>
          <t>PM-Vorlage (hidden) — wenn neuer PM angelegt wird: kopiere eine existierende PM-Seite und passe die Zeilen-Referenz 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0:I36"/>
  <sheetViews>
    <sheetView topLeftCell="A11" workbookViewId="0">
      <selection activeCell="I19" sqref="I19"/>
    </sheetView>
  </sheetViews>
  <sheetFormatPr baseColWidth="10" defaultRowHeight="15"/>
  <cols>
    <col width="12.83203125" bestFit="1" customWidth="1" style="97" min="4" max="4"/>
    <col width="13.1640625" bestFit="1" customWidth="1" style="97" min="8" max="8"/>
  </cols>
  <sheetData>
    <row r="10">
      <c r="B10" s="14" t="inlineStr">
        <is>
          <t>Umsatz</t>
        </is>
      </c>
      <c r="C10" s="14" t="inlineStr">
        <is>
          <t>Auslastung</t>
        </is>
      </c>
      <c r="D10" s="14" t="inlineStr">
        <is>
          <t>PKV Quote</t>
        </is>
      </c>
      <c r="E10" s="14" t="inlineStr">
        <is>
          <t>Krankheit</t>
        </is>
      </c>
      <c r="F10" s="14" t="inlineStr">
        <is>
          <t>Stufe</t>
        </is>
      </c>
      <c r="G10" s="14" t="n"/>
    </row>
    <row r="11">
      <c r="B11" s="15" t="inlineStr">
        <is>
          <t xml:space="preserve">       260.000,00 € </t>
        </is>
      </c>
      <c r="C11" s="16" t="n">
        <v>0.95</v>
      </c>
      <c r="D11" s="16" t="n">
        <v>0.1</v>
      </c>
      <c r="E11" s="16" t="n">
        <v>0.1</v>
      </c>
      <c r="F11" s="14" t="n">
        <v>84</v>
      </c>
      <c r="G11" s="14" t="n">
        <v>2</v>
      </c>
    </row>
    <row r="12">
      <c r="B12" s="15" t="inlineStr">
        <is>
          <t xml:space="preserve">       285.000,00 € </t>
        </is>
      </c>
      <c r="C12" s="16" t="n">
        <v>0.95</v>
      </c>
      <c r="D12" s="16" t="n">
        <v>0.15</v>
      </c>
      <c r="E12" s="16" t="n">
        <v>0.1</v>
      </c>
      <c r="F12" s="14" t="n">
        <v>92.3</v>
      </c>
      <c r="G12" s="14" t="n">
        <v>3</v>
      </c>
    </row>
    <row r="13">
      <c r="B13" s="15" t="inlineStr">
        <is>
          <t xml:space="preserve">       276.000,00 € </t>
        </is>
      </c>
      <c r="C13" s="16" t="n">
        <v>0.96</v>
      </c>
      <c r="D13" s="16" t="n">
        <v>0.1</v>
      </c>
      <c r="E13" s="16" t="n">
        <v>0.1</v>
      </c>
      <c r="F13" s="14" t="n">
        <v>89.40000000000001</v>
      </c>
      <c r="G13" s="14" t="n">
        <v>3</v>
      </c>
    </row>
    <row r="14">
      <c r="B14" s="15" t="inlineStr">
        <is>
          <t xml:space="preserve">       276.000,00 € </t>
        </is>
      </c>
      <c r="C14" s="16" t="n">
        <v>0.9</v>
      </c>
      <c r="D14" s="16" t="n">
        <v>0.19</v>
      </c>
      <c r="E14" s="16" t="n">
        <v>0.1</v>
      </c>
      <c r="F14" s="14" t="n">
        <v>90</v>
      </c>
      <c r="G14" s="14" t="n">
        <v>3</v>
      </c>
    </row>
    <row r="15">
      <c r="B15" s="15" t="inlineStr">
        <is>
          <t xml:space="preserve">       276.000,00 € </t>
        </is>
      </c>
      <c r="C15" s="16" t="n">
        <v>0.9</v>
      </c>
      <c r="D15" s="16" t="n">
        <v>0.12</v>
      </c>
      <c r="E15" s="14" t="inlineStr">
        <is>
          <t>6% (15 Tage pa)</t>
        </is>
      </c>
      <c r="F15" s="14" t="n">
        <v>90</v>
      </c>
      <c r="G15" s="14" t="n">
        <v>3</v>
      </c>
    </row>
    <row r="16">
      <c r="B16" s="15" t="inlineStr">
        <is>
          <t xml:space="preserve">       276.000,00 € </t>
        </is>
      </c>
      <c r="C16" s="16" t="n">
        <v>0.9</v>
      </c>
      <c r="D16" s="16" t="n">
        <v>0.08</v>
      </c>
      <c r="E16" s="14" t="inlineStr">
        <is>
          <t>4% (10 Tage pa)</t>
        </is>
      </c>
      <c r="F16" s="14" t="n">
        <v>90</v>
      </c>
      <c r="G16" s="14" t="n">
        <v>3</v>
      </c>
    </row>
    <row r="17">
      <c r="B17" s="15" t="inlineStr">
        <is>
          <t xml:space="preserve">       276.000,00 € </t>
        </is>
      </c>
      <c r="C17" s="16" t="n">
        <v>0.85</v>
      </c>
      <c r="D17" s="16" t="n">
        <v>0.2</v>
      </c>
      <c r="E17" s="14" t="inlineStr">
        <is>
          <t>6% (15 Tage pa)</t>
        </is>
      </c>
      <c r="F17" s="14" t="n">
        <v>90</v>
      </c>
      <c r="G17" s="14" t="n">
        <v>3</v>
      </c>
    </row>
    <row r="18">
      <c r="B18" s="15" t="inlineStr">
        <is>
          <t xml:space="preserve">       297.000,00 € </t>
        </is>
      </c>
      <c r="C18" s="16" t="n">
        <v>0.96</v>
      </c>
      <c r="D18" s="16" t="n">
        <v>0.2</v>
      </c>
      <c r="E18" s="16" t="n">
        <v>0.1</v>
      </c>
      <c r="F18" s="14" t="n">
        <v>96.2</v>
      </c>
      <c r="G18" s="14" t="n">
        <v>4</v>
      </c>
    </row>
    <row r="19">
      <c r="B19" s="15" t="inlineStr">
        <is>
          <t xml:space="preserve">       297.000,00 € </t>
        </is>
      </c>
      <c r="C19" s="16" t="n">
        <v>0.85</v>
      </c>
      <c r="D19" s="16" t="n">
        <v>0.3</v>
      </c>
      <c r="E19" s="14" t="inlineStr">
        <is>
          <t>5% (12 Tage)</t>
        </is>
      </c>
      <c r="F19" s="14" t="n">
        <v>96.2</v>
      </c>
      <c r="G19" s="14" t="n">
        <v>4</v>
      </c>
    </row>
    <row r="20">
      <c r="B20" s="15" t="inlineStr">
        <is>
          <t xml:space="preserve">       297.000,00 € </t>
        </is>
      </c>
      <c r="C20" s="16" t="n">
        <v>0.93</v>
      </c>
      <c r="D20" s="16" t="n">
        <v>0.16</v>
      </c>
      <c r="E20" s="16" t="n">
        <v>0.05</v>
      </c>
      <c r="F20" s="14" t="n">
        <v>96.2</v>
      </c>
      <c r="G20" s="14" t="n">
        <v>4</v>
      </c>
    </row>
    <row r="21">
      <c r="B21" s="15" t="inlineStr">
        <is>
          <t xml:space="preserve">       318.000,00 € </t>
        </is>
      </c>
      <c r="C21" s="16" t="n">
        <v>0.85</v>
      </c>
      <c r="D21" s="16" t="n">
        <v>0.4</v>
      </c>
      <c r="E21" s="14" t="inlineStr">
        <is>
          <t>4% - 10 tage</t>
        </is>
      </c>
      <c r="F21" s="14" t="n">
        <v>103.1</v>
      </c>
      <c r="G21" s="14" t="n">
        <v>5</v>
      </c>
    </row>
    <row r="22">
      <c r="B22" s="15" t="inlineStr">
        <is>
          <t xml:space="preserve">       318.000,00 € </t>
        </is>
      </c>
      <c r="C22" s="16" t="n">
        <v>0.96</v>
      </c>
      <c r="D22" s="16" t="n">
        <v>0.3</v>
      </c>
      <c r="E22" s="16" t="n">
        <v>0.1</v>
      </c>
      <c r="F22" s="14" t="n">
        <v>103.1</v>
      </c>
      <c r="G22" s="14" t="n">
        <v>5</v>
      </c>
    </row>
    <row r="23">
      <c r="B23" s="14" t="n"/>
      <c r="C23" s="14" t="n"/>
      <c r="D23" s="14" t="n"/>
      <c r="E23" s="14" t="n"/>
      <c r="F23" s="14" t="n"/>
      <c r="G23" s="14" t="n"/>
    </row>
    <row r="24">
      <c r="B24" s="14" t="n"/>
      <c r="C24" s="14" t="n"/>
      <c r="D24" s="14" t="n"/>
      <c r="E24" s="14" t="n"/>
      <c r="F24" s="14" t="n"/>
      <c r="G24" s="14" t="n"/>
    </row>
    <row r="25">
      <c r="B25" s="14" t="inlineStr">
        <is>
          <t>Zielerreichung</t>
        </is>
      </c>
      <c r="C25" s="14" t="inlineStr">
        <is>
          <t>umsatz pro 30h</t>
        </is>
      </c>
      <c r="D25" s="14" t="inlineStr">
        <is>
          <t>Quartalsumsatz</t>
        </is>
      </c>
      <c r="E25" s="14" t="inlineStr">
        <is>
          <t>Auslastung</t>
        </is>
      </c>
      <c r="F25" s="14" t="inlineStr">
        <is>
          <t>PKV Quote</t>
        </is>
      </c>
      <c r="G25" s="14" t="inlineStr">
        <is>
          <t>Marge</t>
        </is>
      </c>
      <c r="H25" s="14" t="inlineStr">
        <is>
          <t>Umsatz pro 30h nach Abzug aller Abwesenheiten</t>
        </is>
      </c>
      <c r="I25" s="14" t="inlineStr">
        <is>
          <t>Pro h</t>
        </is>
      </c>
    </row>
    <row r="26">
      <c r="B26" s="17" t="n">
        <v>0.79</v>
      </c>
      <c r="C26" s="132" t="n">
        <v>6400</v>
      </c>
      <c r="D26" s="132" t="n">
        <v>155000</v>
      </c>
      <c r="E26" s="17" t="n">
        <v>0.8</v>
      </c>
      <c r="F26" s="17" t="n">
        <v>0</v>
      </c>
      <c r="G26" s="17" t="n">
        <v>0.03</v>
      </c>
      <c r="H26" s="133" t="n">
        <v>7607.05</v>
      </c>
      <c r="I26" s="134">
        <f>H26/30/4.33</f>
        <v/>
      </c>
    </row>
    <row r="27">
      <c r="B27" s="17" t="n">
        <v>0.9</v>
      </c>
      <c r="C27" s="132" t="n">
        <v>6800</v>
      </c>
      <c r="D27" s="132" t="n">
        <v>175000</v>
      </c>
      <c r="E27" s="17" t="n">
        <v>0.85</v>
      </c>
      <c r="F27" s="17" t="n">
        <v>0</v>
      </c>
      <c r="G27" s="17" t="n">
        <v>0.07000000000000001</v>
      </c>
      <c r="H27" s="133" t="n">
        <v>8082.49</v>
      </c>
      <c r="I27" s="134">
        <f>H27/30/4.33</f>
        <v/>
      </c>
    </row>
    <row r="28">
      <c r="B28" s="17" t="n">
        <v>0.93</v>
      </c>
      <c r="C28" s="132" t="n">
        <v>7500</v>
      </c>
      <c r="D28" s="132" t="n">
        <v>182000</v>
      </c>
      <c r="E28" s="17" t="n">
        <v>0.85</v>
      </c>
      <c r="F28" s="17" t="n">
        <v>0.1</v>
      </c>
      <c r="G28" s="17" t="n">
        <v>0.13</v>
      </c>
      <c r="I28" s="134" t="n"/>
    </row>
    <row r="29">
      <c r="B29" s="17" t="n">
        <v>0.92</v>
      </c>
      <c r="C29" s="132" t="n">
        <v>7200</v>
      </c>
      <c r="D29" s="132" t="n">
        <v>180000</v>
      </c>
      <c r="E29" s="17" t="n">
        <v>0.85</v>
      </c>
      <c r="F29" s="17" t="n">
        <v>0.05</v>
      </c>
      <c r="G29" s="17" t="n">
        <v>0.1</v>
      </c>
      <c r="H29" s="133" t="n">
        <v>8557.93</v>
      </c>
      <c r="I29" s="134">
        <f>H29/30/4.33</f>
        <v/>
      </c>
    </row>
    <row r="30">
      <c r="B30" s="17" t="n">
        <v>0.92</v>
      </c>
      <c r="C30" s="132" t="n">
        <v>7200</v>
      </c>
      <c r="D30" s="132" t="n">
        <v>180000</v>
      </c>
      <c r="E30" s="17" t="n">
        <v>0.9</v>
      </c>
      <c r="F30" s="17" t="n">
        <v>0</v>
      </c>
      <c r="G30" s="17" t="n">
        <v>0.1</v>
      </c>
      <c r="H30" s="133" t="n">
        <v>8557.93</v>
      </c>
      <c r="I30" s="134">
        <f>H30/30/4.33</f>
        <v/>
      </c>
    </row>
    <row r="31">
      <c r="B31" s="17" t="n">
        <v>0.95</v>
      </c>
      <c r="C31" s="132" t="n">
        <v>7600</v>
      </c>
      <c r="D31" s="132" t="n">
        <v>185000</v>
      </c>
      <c r="E31" s="17" t="n">
        <v>0.95</v>
      </c>
      <c r="F31" s="17" t="n">
        <v>0</v>
      </c>
      <c r="G31" s="17" t="n">
        <v>0.13</v>
      </c>
      <c r="H31" s="133" t="n">
        <v>9033.370000000001</v>
      </c>
      <c r="I31" s="134">
        <f>H31/30/4.33</f>
        <v/>
      </c>
    </row>
    <row r="32">
      <c r="B32" s="19" t="n">
        <v>1</v>
      </c>
      <c r="C32" s="135" t="n">
        <v>8000</v>
      </c>
      <c r="D32" s="135" t="n">
        <v>195000</v>
      </c>
      <c r="E32" s="19" t="n">
        <v>1</v>
      </c>
      <c r="F32" s="19" t="n">
        <v>0</v>
      </c>
      <c r="G32" s="19" t="n">
        <v>0.16</v>
      </c>
      <c r="H32" s="133" t="n">
        <v>9508.809999999999</v>
      </c>
      <c r="I32" s="134">
        <f>H32/30/4.33</f>
        <v/>
      </c>
    </row>
    <row r="33">
      <c r="B33" s="17" t="n">
        <v>1.05</v>
      </c>
      <c r="C33" s="132" t="n">
        <v>8400</v>
      </c>
      <c r="D33" s="132" t="n">
        <v>205000</v>
      </c>
      <c r="E33" s="17" t="n">
        <v>1</v>
      </c>
      <c r="F33" s="17" t="n">
        <v>0.05</v>
      </c>
      <c r="G33" s="17" t="n">
        <v>0.19</v>
      </c>
      <c r="H33" s="133" t="n">
        <v>10041.3</v>
      </c>
      <c r="I33" s="134">
        <f>H33/30/4.33</f>
        <v/>
      </c>
    </row>
    <row r="34">
      <c r="B34" s="17" t="n">
        <v>1.1</v>
      </c>
      <c r="C34" s="132" t="n">
        <v>8800</v>
      </c>
      <c r="D34" s="132" t="n">
        <v>215000</v>
      </c>
      <c r="E34" s="17" t="n">
        <v>1</v>
      </c>
      <c r="F34" s="17" t="n">
        <v>0.1</v>
      </c>
      <c r="G34" s="17" t="n">
        <v>0.21</v>
      </c>
      <c r="H34" s="133" t="n">
        <v>10421.65</v>
      </c>
      <c r="I34" s="134">
        <f>H34/30/4.33</f>
        <v/>
      </c>
    </row>
    <row r="35">
      <c r="B35" s="17" t="n">
        <v>1.15</v>
      </c>
      <c r="C35" s="132" t="n">
        <v>9200</v>
      </c>
      <c r="D35" s="132" t="n">
        <v>224000</v>
      </c>
      <c r="E35" s="17" t="n">
        <v>1</v>
      </c>
      <c r="F35" s="17" t="n">
        <v>0.15</v>
      </c>
      <c r="G35" s="17" t="n">
        <v>0.23</v>
      </c>
      <c r="H35" s="133" t="n">
        <v>11030.22</v>
      </c>
      <c r="I35" s="134">
        <f>H35/30/4.33</f>
        <v/>
      </c>
    </row>
    <row r="36">
      <c r="B36" s="14" t="n"/>
      <c r="C36" s="14" t="n"/>
      <c r="D36" s="14" t="n"/>
      <c r="E36" s="14" t="n"/>
      <c r="F36" s="14" t="n"/>
      <c r="G36" s="14" t="n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2026-03-18T09:25:26Z</dcterms:created>
  <dcterms:modified xmlns:dcterms="http://purl.org/dc/terms/" xmlns:xsi="http://www.w3.org/2001/XMLSchema-instance" xsi:type="dcterms:W3CDTF">2026-06-04T13:34:56Z</dcterms:modified>
  <cp:lastModifiedBy>Valentin Irmen</cp:lastModifiedBy>
  <cp:revision>0</cp:revision>
</cp:coreProperties>
</file>